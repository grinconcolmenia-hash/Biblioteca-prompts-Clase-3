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álogo COMATEL" sheetId="1" state="visible" r:id="rId3"/>
    <sheet name="Resumen" sheetId="2" state="visible" r:id="rId4"/>
  </sheets>
  <definedNames>
    <definedName function="false" hidden="true" localSheetId="0" name="_xlnm._FilterDatabase" vbProcedure="false">'Catálogo COMATEL'!$A$2:$K$98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<sst xmlns="http://schemas.openxmlformats.org/spreadsheetml/2006/main" count="701" uniqueCount="407">
  <si>
    <t xml:space="preserve">CATÁLOGO DE PRODUCTOS · COMATEL S.A.S · Material Eléctrico y Telecomunicaciones</t>
  </si>
  <si>
    <t xml:space="preserve">Código</t>
  </si>
  <si>
    <t xml:space="preserve">Categoría</t>
  </si>
  <si>
    <t xml:space="preserve">Subcategoría</t>
  </si>
  <si>
    <t xml:space="preserve">Producto</t>
  </si>
  <si>
    <t xml:space="preserve">Marca</t>
  </si>
  <si>
    <t xml:space="preserve">Unidad de Medida</t>
  </si>
  <si>
    <t xml:space="preserve">Precio Unitario (COP)</t>
  </si>
  <si>
    <t xml:space="preserve">IVA (%)</t>
  </si>
  <si>
    <t xml:space="preserve">Precio con IVA (COP)</t>
  </si>
  <si>
    <t xml:space="preserve">Stock Disponible</t>
  </si>
  <si>
    <t xml:space="preserve">Descripción Técnica</t>
  </si>
  <si>
    <t xml:space="preserve">ILU-001</t>
  </si>
  <si>
    <t xml:space="preserve">ILUMINACIÓN</t>
  </si>
  <si>
    <t xml:space="preserve">Panel LED</t>
  </si>
  <si>
    <t xml:space="preserve">Panel LED Redondo 18W 6500K Empotrar</t>
  </si>
  <si>
    <t xml:space="preserve">Sylvania</t>
  </si>
  <si>
    <t xml:space="preserve">Unidad</t>
  </si>
  <si>
    <t xml:space="preserve">Panel LED redondo empotrable 18W, luz blanca fría 6500K, IP20, para cielo raso</t>
  </si>
  <si>
    <t xml:space="preserve">ILU-002</t>
  </si>
  <si>
    <t xml:space="preserve">Panel LED Cuadrado 24W 4000K Sobreponer</t>
  </si>
  <si>
    <t xml:space="preserve">Philips</t>
  </si>
  <si>
    <t xml:space="preserve">Panel LED cuadrado sobreponer 24W, luz neutra 4000K, 60x60cm, oficina</t>
  </si>
  <si>
    <t xml:space="preserve">ILU-003</t>
  </si>
  <si>
    <t xml:space="preserve">Panel LED 40W 60x60 6500K Empotrar</t>
  </si>
  <si>
    <t xml:space="preserve">Schneider</t>
  </si>
  <si>
    <t xml:space="preserve">Panel LED 40W formato 60x60, alta eficiencia, oficinas y comercio</t>
  </si>
  <si>
    <t xml:space="preserve">ILU-004</t>
  </si>
  <si>
    <t xml:space="preserve">Bombilla LED</t>
  </si>
  <si>
    <t xml:space="preserve">Bombilla LED A19 9W E27 6500K</t>
  </si>
  <si>
    <t xml:space="preserve">Bombilla LED estándar 9W rosca E27, luz día, 800 lúmenes</t>
  </si>
  <si>
    <t xml:space="preserve">ILU-005</t>
  </si>
  <si>
    <t xml:space="preserve">Bombilla LED A19 12W E27 3000K</t>
  </si>
  <si>
    <t xml:space="preserve">Osram</t>
  </si>
  <si>
    <t xml:space="preserve">Bombilla LED 12W rosca E27, luz cálida 3000K, 1050 lúmenes</t>
  </si>
  <si>
    <t xml:space="preserve">ILU-006</t>
  </si>
  <si>
    <t xml:space="preserve">Tubo LED</t>
  </si>
  <si>
    <t xml:space="preserve">Tubo LED T8 18W 120cm 6500K</t>
  </si>
  <si>
    <t xml:space="preserve">Tubo LED T8 18W de 1.2m, reemplazo directo fluorescente, luz fría</t>
  </si>
  <si>
    <t xml:space="preserve">ILU-007</t>
  </si>
  <si>
    <t xml:space="preserve">Reflector LED</t>
  </si>
  <si>
    <t xml:space="preserve">Reflector LED 50W 6500K IP66</t>
  </si>
  <si>
    <t xml:space="preserve">Reflector LED exterior 50W, IP66, luz fría, fachadas y parqueaderos</t>
  </si>
  <si>
    <t xml:space="preserve">ILU-008</t>
  </si>
  <si>
    <t xml:space="preserve">Reflector LED 100W 6500K IP66</t>
  </si>
  <si>
    <t xml:space="preserve">Reflector LED exterior 100W, IP66, alta potencia, canchas y bodegas</t>
  </si>
  <si>
    <t xml:space="preserve">ILU-009</t>
  </si>
  <si>
    <t xml:space="preserve">Reflector LED 200W 6500K IP66</t>
  </si>
  <si>
    <t xml:space="preserve">Roblan</t>
  </si>
  <si>
    <t xml:space="preserve">Reflector LED industrial 200W, IP66, iluminación de grandes áreas</t>
  </si>
  <si>
    <t xml:space="preserve">ILU-010</t>
  </si>
  <si>
    <t xml:space="preserve">Luminaria Industrial</t>
  </si>
  <si>
    <t xml:space="preserve">Campana LED High Bay 150W 6500K</t>
  </si>
  <si>
    <t xml:space="preserve">Campana LED tipo high bay 150W, IP65, bodegas y naves industriales</t>
  </si>
  <si>
    <t xml:space="preserve">ILU-011</t>
  </si>
  <si>
    <t xml:space="preserve">Luminaria Vial</t>
  </si>
  <si>
    <t xml:space="preserve">Luminaria Vial LED 60W 5700K</t>
  </si>
  <si>
    <t xml:space="preserve">Luminaria de alumbrado público LED 60W, IP66, poste vial</t>
  </si>
  <si>
    <t xml:space="preserve">ILU-012</t>
  </si>
  <si>
    <t xml:space="preserve">Luminaria Vial LED 120W 5700K</t>
  </si>
  <si>
    <t xml:space="preserve">Luminaria de alumbrado público LED 120W, IP66, avenidas</t>
  </si>
  <si>
    <t xml:space="preserve">ILU-013</t>
  </si>
  <si>
    <t xml:space="preserve">Cinta LED</t>
  </si>
  <si>
    <t xml:space="preserve">Cinta LED 5050 RGB 5m 12V</t>
  </si>
  <si>
    <t xml:space="preserve">Generico</t>
  </si>
  <si>
    <t xml:space="preserve">Rollo</t>
  </si>
  <si>
    <t xml:space="preserve">Cinta LED RGB flexible 5050, rollo 5m, 12V, con control remoto</t>
  </si>
  <si>
    <t xml:space="preserve">ILU-014</t>
  </si>
  <si>
    <t xml:space="preserve">Iluminación Emergencia</t>
  </si>
  <si>
    <t xml:space="preserve">Luminaria Emergencia LED 2x1W Autónoma</t>
  </si>
  <si>
    <t xml:space="preserve">Luminaria de emergencia LED autónoma con batería, 2 horas respaldo</t>
  </si>
  <si>
    <t xml:space="preserve">CAB-001</t>
  </si>
  <si>
    <t xml:space="preserve">CABLEADO</t>
  </si>
  <si>
    <t xml:space="preserve">Cable THHN</t>
  </si>
  <si>
    <t xml:space="preserve">Cable THHN #12 AWG Rojo 100m</t>
  </si>
  <si>
    <t xml:space="preserve">Centelsa</t>
  </si>
  <si>
    <t xml:space="preserve">Cable THHN calibre 12 AWG cobre, aislamiento 90°C, rollo 100m, rojo</t>
  </si>
  <si>
    <t xml:space="preserve">CAB-002</t>
  </si>
  <si>
    <t xml:space="preserve">Cable THHN #10 AWG Negro 100m</t>
  </si>
  <si>
    <t xml:space="preserve">Cable THHN calibre 10 AWG cobre, aislamiento 90°C, rollo 100m, negro</t>
  </si>
  <si>
    <t xml:space="preserve">CAB-003</t>
  </si>
  <si>
    <t xml:space="preserve">Cable THHN #8 AWG Azul 100m</t>
  </si>
  <si>
    <t xml:space="preserve">Procables</t>
  </si>
  <si>
    <t xml:space="preserve">Cable THHN calibre 8 AWG cobre, aislamiento 90°C, rollo 100m, azul</t>
  </si>
  <si>
    <t xml:space="preserve">CAB-004</t>
  </si>
  <si>
    <t xml:space="preserve">Cable THHN #14 AWG Blanco 100m</t>
  </si>
  <si>
    <t xml:space="preserve">Cable THHN calibre 14 AWG cobre, aislamiento 90°C, rollo 100m, blanco</t>
  </si>
  <si>
    <t xml:space="preserve">CAB-005</t>
  </si>
  <si>
    <t xml:space="preserve">Alambre</t>
  </si>
  <si>
    <t xml:space="preserve">Alambre de Cobre Desnudo #8 AWG</t>
  </si>
  <si>
    <t xml:space="preserve">Metro</t>
  </si>
  <si>
    <t xml:space="preserve">Alambre de cobre desnudo calibre 8 AWG para puesta a tierra</t>
  </si>
  <si>
    <t xml:space="preserve">CAB-006</t>
  </si>
  <si>
    <t xml:space="preserve">Cable Encauchetado</t>
  </si>
  <si>
    <t xml:space="preserve">Cable Encauchetado 3x12 AWG</t>
  </si>
  <si>
    <t xml:space="preserve">Cable encauchetado 3 conductores calibre 12 AWG, uso flexible</t>
  </si>
  <si>
    <t xml:space="preserve">CAB-007</t>
  </si>
  <si>
    <t xml:space="preserve">Cable Encauchetado 2x14 AWG</t>
  </si>
  <si>
    <t xml:space="preserve">Cable encauchetado 2 conductores calibre 14 AWG, uso doméstico</t>
  </si>
  <si>
    <t xml:space="preserve">CAB-008</t>
  </si>
  <si>
    <t xml:space="preserve">Cable Libre Halógeno</t>
  </si>
  <si>
    <t xml:space="preserve">Cable LSZH #12 AWG Verde 100m</t>
  </si>
  <si>
    <t xml:space="preserve">Nexans</t>
  </si>
  <si>
    <t xml:space="preserve">Cable libre de halógenos LSZH #12 AWG, baja emisión de humos, hospitales</t>
  </si>
  <si>
    <t xml:space="preserve">CAB-009</t>
  </si>
  <si>
    <t xml:space="preserve">Cable UTP</t>
  </si>
  <si>
    <t xml:space="preserve">Cable UTP Cat6 Caja 305m</t>
  </si>
  <si>
    <t xml:space="preserve">Panduit</t>
  </si>
  <si>
    <t xml:space="preserve">Caja</t>
  </si>
  <si>
    <t xml:space="preserve">Cable UTP categoría 6, 4 pares, caja 305m, redes de datos</t>
  </si>
  <si>
    <t xml:space="preserve">CAB-010</t>
  </si>
  <si>
    <t xml:space="preserve">Cable UTP Cat5e Caja 305m</t>
  </si>
  <si>
    <t xml:space="preserve">Nexxt</t>
  </si>
  <si>
    <t xml:space="preserve">Cable UTP categoría 5e, 4 pares, caja 305m, cableado estructurado</t>
  </si>
  <si>
    <t xml:space="preserve">CAB-011</t>
  </si>
  <si>
    <t xml:space="preserve">Cable Coaxial</t>
  </si>
  <si>
    <t xml:space="preserve">Cable Coaxial RG6 Rollo 100m</t>
  </si>
  <si>
    <t xml:space="preserve">Cable coaxial RG6 con malla, rollo 100m, CCTV y TV</t>
  </si>
  <si>
    <t xml:space="preserve">CAB-012</t>
  </si>
  <si>
    <t xml:space="preserve">Cable Fibra</t>
  </si>
  <si>
    <t xml:space="preserve">Cable Fibra Óptica Monomodo 6 Hilos</t>
  </si>
  <si>
    <t xml:space="preserve">Furukawa</t>
  </si>
  <si>
    <t xml:space="preserve">Cable de fibra óptica monomodo 6 hilos, exterior, backbone</t>
  </si>
  <si>
    <t xml:space="preserve">CON-001</t>
  </si>
  <si>
    <t xml:space="preserve">CONECTORES</t>
  </si>
  <si>
    <t xml:space="preserve">Terminal</t>
  </si>
  <si>
    <t xml:space="preserve">Terminal de Ojo #10 AWG (100und)</t>
  </si>
  <si>
    <t xml:space="preserve">3M</t>
  </si>
  <si>
    <t xml:space="preserve">Bolsa</t>
  </si>
  <si>
    <t xml:space="preserve">Terminal tipo ojo preaislado para cable 10 AWG, bolsa x100</t>
  </si>
  <si>
    <t xml:space="preserve">CON-002</t>
  </si>
  <si>
    <t xml:space="preserve">Terminal Ponchable Tubular #8 AWG (50und)</t>
  </si>
  <si>
    <t xml:space="preserve">Terminal tubular ponchable para cable 8 AWG, bolsa x50</t>
  </si>
  <si>
    <t xml:space="preserve">CON-003</t>
  </si>
  <si>
    <t xml:space="preserve">Conector</t>
  </si>
  <si>
    <t xml:space="preserve">Conector Wire Nut Rojo (100und)</t>
  </si>
  <si>
    <t xml:space="preserve">Conector de resorte tipo wire nut, calibre 10-14, bolsa x100</t>
  </si>
  <si>
    <t xml:space="preserve">CON-004</t>
  </si>
  <si>
    <t xml:space="preserve">Conector RJ45</t>
  </si>
  <si>
    <t xml:space="preserve">Conector RJ45 Cat6 (100und)</t>
  </si>
  <si>
    <t xml:space="preserve">Conector RJ45 categoría 6 blindado, bolsa x100, redes</t>
  </si>
  <si>
    <t xml:space="preserve">CON-005</t>
  </si>
  <si>
    <t xml:space="preserve">Conector RJ45 Cat5e (100und)</t>
  </si>
  <si>
    <t xml:space="preserve">Conector RJ45 categoría 5e, bolsa x100, cableado estructurado</t>
  </si>
  <si>
    <t xml:space="preserve">CON-006</t>
  </si>
  <si>
    <t xml:space="preserve">Empalme</t>
  </si>
  <si>
    <t xml:space="preserve">Empalme Termoencogible 1kV #6 AWG</t>
  </si>
  <si>
    <t xml:space="preserve">Raychem</t>
  </si>
  <si>
    <t xml:space="preserve">Empalme termoencogible para media tensión hasta 1kV, cable 6 AWG</t>
  </si>
  <si>
    <t xml:space="preserve">CON-007</t>
  </si>
  <si>
    <t xml:space="preserve">Prensaestopa</t>
  </si>
  <si>
    <t xml:space="preserve">Prensaestopa PG13.5 Plástico (25und)</t>
  </si>
  <si>
    <t xml:space="preserve">Legrand</t>
  </si>
  <si>
    <t xml:space="preserve">Prensaestopa PG13.5 IP68 plástico, bolsa x25, entrada de cables</t>
  </si>
  <si>
    <t xml:space="preserve">UPS-001</t>
  </si>
  <si>
    <t xml:space="preserve">UPS Y RESPALDO</t>
  </si>
  <si>
    <t xml:space="preserve">UPS Interactiva</t>
  </si>
  <si>
    <t xml:space="preserve">UPS Interactiva 750VA 6 Tomas</t>
  </si>
  <si>
    <t xml:space="preserve">APC</t>
  </si>
  <si>
    <t xml:space="preserve">UPS línea interactiva 750VA/375W, 6 tomas, respaldo equipos de oficina</t>
  </si>
  <si>
    <t xml:space="preserve">UPS-002</t>
  </si>
  <si>
    <t xml:space="preserve">UPS Interactiva 1500VA LCD</t>
  </si>
  <si>
    <t xml:space="preserve">UPS línea interactiva 1500VA/900W, pantalla LCD, 8 tomas</t>
  </si>
  <si>
    <t xml:space="preserve">UPS-003</t>
  </si>
  <si>
    <t xml:space="preserve">UPS Online</t>
  </si>
  <si>
    <t xml:space="preserve">UPS Online 3kVA Doble Conversión</t>
  </si>
  <si>
    <t xml:space="preserve">Vertiv</t>
  </si>
  <si>
    <t xml:space="preserve">UPS online doble conversión 3kVA, torre/rack, servidores y datacenter</t>
  </si>
  <si>
    <t xml:space="preserve">UPS-004</t>
  </si>
  <si>
    <t xml:space="preserve">UPS Online 6kVA Doble Conversión</t>
  </si>
  <si>
    <t xml:space="preserve">UPS online doble conversión 6kVA, montaje rack, cargas críticas</t>
  </si>
  <si>
    <t xml:space="preserve">UPS-005</t>
  </si>
  <si>
    <t xml:space="preserve">Regulador</t>
  </si>
  <si>
    <t xml:space="preserve">Regulador de Voltaje 1200VA 4 Tomas</t>
  </si>
  <si>
    <t xml:space="preserve">Nicomar</t>
  </si>
  <si>
    <t xml:space="preserve">Regulador de voltaje 1200VA, 4 tomas, protección picos</t>
  </si>
  <si>
    <t xml:space="preserve">UPS-006</t>
  </si>
  <si>
    <t xml:space="preserve">Batería</t>
  </si>
  <si>
    <t xml:space="preserve">Batería Sellada 12V 9Ah AGM</t>
  </si>
  <si>
    <t xml:space="preserve">Ritar</t>
  </si>
  <si>
    <t xml:space="preserve">Batería sellada AGM 12V 9Ah, respaldo UPS y sistemas de seguridad</t>
  </si>
  <si>
    <t xml:space="preserve">UPS-007</t>
  </si>
  <si>
    <t xml:space="preserve">Batería Sellada 12V 100Ah Ciclo Profundo</t>
  </si>
  <si>
    <t xml:space="preserve">Batería ciclo profundo 12V 100Ah, sistemas solares y respaldo</t>
  </si>
  <si>
    <t xml:space="preserve">UPS-008</t>
  </si>
  <si>
    <t xml:space="preserve">Inversor</t>
  </si>
  <si>
    <t xml:space="preserve">Inversor Solar Híbrido 3kW 24V</t>
  </si>
  <si>
    <t xml:space="preserve">Growatt</t>
  </si>
  <si>
    <t xml:space="preserve">Inversor solar híbrido 3kW 24V, MPPT, conexión a red y baterías</t>
  </si>
  <si>
    <t xml:space="preserve">TAB-001</t>
  </si>
  <si>
    <t xml:space="preserve">TABLEROS Y DISTRIBUCIÓN</t>
  </si>
  <si>
    <t xml:space="preserve">Tablero Distribución</t>
  </si>
  <si>
    <t xml:space="preserve">Tablero 8 Circuitos Trifásico Empotrar</t>
  </si>
  <si>
    <t xml:space="preserve">Tablero de distribución 8 circuitos trifásico, empotrar, barraje incluido</t>
  </si>
  <si>
    <t xml:space="preserve">TAB-002</t>
  </si>
  <si>
    <t xml:space="preserve">Tablero 12 Circuitos Trifásico Sobreponer</t>
  </si>
  <si>
    <t xml:space="preserve">Tablero de distribución 12 circuitos trifásico, sobreponer, con puerta</t>
  </si>
  <si>
    <t xml:space="preserve">TAB-003</t>
  </si>
  <si>
    <t xml:space="preserve">Tablero 24 Circuitos Trifásico Metálico</t>
  </si>
  <si>
    <t xml:space="preserve">Tablero metálico 24 circuitos trifásico, uso comercial e industrial</t>
  </si>
  <si>
    <t xml:space="preserve">TAB-004</t>
  </si>
  <si>
    <t xml:space="preserve">Gabinete</t>
  </si>
  <si>
    <t xml:space="preserve">Gabinete Metálico 40x40x20 IP54</t>
  </si>
  <si>
    <t xml:space="preserve">Gabinete metálico 40x40x20cm IP54, con placa de montaje, tableros de control</t>
  </si>
  <si>
    <t xml:space="preserve">TAB-005</t>
  </si>
  <si>
    <t xml:space="preserve">Gabinete Metálico 60x60x25 IP65</t>
  </si>
  <si>
    <t xml:space="preserve">Gabinete metálico 60x60x25cm IP65, exterior, con placa de montaje</t>
  </si>
  <si>
    <t xml:space="preserve">TAB-006</t>
  </si>
  <si>
    <t xml:space="preserve">Barraje</t>
  </si>
  <si>
    <t xml:space="preserve">Barraje de Cobre 100A Trifásico</t>
  </si>
  <si>
    <t xml:space="preserve">Barraje de cobre 100A trifásico + neutro, para tableros de distribución</t>
  </si>
  <si>
    <t xml:space="preserve">TAB-007</t>
  </si>
  <si>
    <t xml:space="preserve">Riel DIN</t>
  </si>
  <si>
    <t xml:space="preserve">Riel DIN 35mm Perforado 1m</t>
  </si>
  <si>
    <t xml:space="preserve">Riel DIN estándar 35mm perforado, 1 metro, montaje de breakers</t>
  </si>
  <si>
    <t xml:space="preserve">PRO-001</t>
  </si>
  <si>
    <t xml:space="preserve">PROTECCIÓN</t>
  </si>
  <si>
    <t xml:space="preserve">Breaker Enchufable</t>
  </si>
  <si>
    <t xml:space="preserve">Breaker Enchufable 1x20A</t>
  </si>
  <si>
    <t xml:space="preserve">Breaker enchufable monopolar 20A, curva C, protección de circuitos</t>
  </si>
  <si>
    <t xml:space="preserve">PRO-002</t>
  </si>
  <si>
    <t xml:space="preserve">Breaker Enchufable 2x30A</t>
  </si>
  <si>
    <t xml:space="preserve">Breaker enchufable bipolar 30A, curva C, cargas mayores</t>
  </si>
  <si>
    <t xml:space="preserve">PRO-003</t>
  </si>
  <si>
    <t xml:space="preserve">Breaker Enchufable 3x40A</t>
  </si>
  <si>
    <t xml:space="preserve">Breaker enchufable tripolar 40A, curva C, tableros trifásicos</t>
  </si>
  <si>
    <t xml:space="preserve">PRO-004</t>
  </si>
  <si>
    <t xml:space="preserve">Breaker Industrial</t>
  </si>
  <si>
    <t xml:space="preserve">Breaker Caja Moldeada 3x100A</t>
  </si>
  <si>
    <t xml:space="preserve">Breaker industrial caja moldeada tripolar 100A, uso industrial</t>
  </si>
  <si>
    <t xml:space="preserve">PRO-005</t>
  </si>
  <si>
    <t xml:space="preserve">Breaker Caja Moldeada 3x200A</t>
  </si>
  <si>
    <t xml:space="preserve">Breaker industrial caja moldeada tripolar 200A, alta capacidad</t>
  </si>
  <si>
    <t xml:space="preserve">PRO-006</t>
  </si>
  <si>
    <t xml:space="preserve">DPS</t>
  </si>
  <si>
    <t xml:space="preserve">DPS Tipo 2 Trifásico 40kA</t>
  </si>
  <si>
    <t xml:space="preserve">Descargador de sobretensión tipo 2, trifásico, 40kA, protección de rayos</t>
  </si>
  <si>
    <t xml:space="preserve">PRO-007</t>
  </si>
  <si>
    <t xml:space="preserve">Guardamotor</t>
  </si>
  <si>
    <t xml:space="preserve">Guardamotor 4-6.3A Ajustable</t>
  </si>
  <si>
    <t xml:space="preserve">Guardamotor ajustable 4-6.3A, protección térmica y magnética de motores</t>
  </si>
  <si>
    <t xml:space="preserve">PRO-008</t>
  </si>
  <si>
    <t xml:space="preserve">Contactor</t>
  </si>
  <si>
    <t xml:space="preserve">Contactor Tripolar 25A 220V Bobina</t>
  </si>
  <si>
    <t xml:space="preserve">Contactor tripolar 25A, bobina 220V, control de motores y cargas</t>
  </si>
  <si>
    <t xml:space="preserve">PRO-009</t>
  </si>
  <si>
    <t xml:space="preserve">Diferencial</t>
  </si>
  <si>
    <t xml:space="preserve">Interruptor Diferencial 2x40A 30mA</t>
  </si>
  <si>
    <t xml:space="preserve">Interruptor diferencial bipolar 40A, sensibilidad 30mA, protección de personas</t>
  </si>
  <si>
    <t xml:space="preserve">TOM-001</t>
  </si>
  <si>
    <t xml:space="preserve">TOMAS E INTERRUPTORES</t>
  </si>
  <si>
    <t xml:space="preserve">Toma</t>
  </si>
  <si>
    <t xml:space="preserve">Toma Doble Polo a Tierra Blanco</t>
  </si>
  <si>
    <t xml:space="preserve">Tomacorriente doble con polo a tierra, línea residencial, blanco</t>
  </si>
  <si>
    <t xml:space="preserve">TOM-002</t>
  </si>
  <si>
    <t xml:space="preserve">Toma GFCI 15A Blanco</t>
  </si>
  <si>
    <t xml:space="preserve">Tomacorriente GFCI 15A con protección diferencial, baños y cocinas</t>
  </si>
  <si>
    <t xml:space="preserve">TOM-003</t>
  </si>
  <si>
    <t xml:space="preserve">Toma Industrial</t>
  </si>
  <si>
    <t xml:space="preserve">Toma Industrial 3P+T 32A IP67</t>
  </si>
  <si>
    <t xml:space="preserve">Tomacorriente industrial trifásico 32A + tierra, IP67, uso industrial</t>
  </si>
  <si>
    <t xml:space="preserve">TOM-004</t>
  </si>
  <si>
    <t xml:space="preserve">Interruptor</t>
  </si>
  <si>
    <t xml:space="preserve">Interruptor Sencillo Blanco</t>
  </si>
  <si>
    <t xml:space="preserve">Interruptor sencillo línea residencial, blanco</t>
  </si>
  <si>
    <t xml:space="preserve">TOM-005</t>
  </si>
  <si>
    <t xml:space="preserve">Interruptor Doble Blanco</t>
  </si>
  <si>
    <t xml:space="preserve">Interruptor doble línea residencial, blanco</t>
  </si>
  <si>
    <t xml:space="preserve">TOM-006</t>
  </si>
  <si>
    <t xml:space="preserve">Interruptor Conmutable (3 vías) Blanco</t>
  </si>
  <si>
    <t xml:space="preserve">Interruptor conmutable de tres vías, control de luz desde dos puntos</t>
  </si>
  <si>
    <t xml:space="preserve">TOM-007</t>
  </si>
  <si>
    <t xml:space="preserve">Toma Datos</t>
  </si>
  <si>
    <t xml:space="preserve">Toma de Datos RJ45 Cat6 Blanco</t>
  </si>
  <si>
    <t xml:space="preserve">Toma de datos RJ45 categoría 6, con placa, cableado estructurado</t>
  </si>
  <si>
    <t xml:space="preserve">CAN-001</t>
  </si>
  <si>
    <t xml:space="preserve">CANALIZACIÓN</t>
  </si>
  <si>
    <t xml:space="preserve">Tubería EMT</t>
  </si>
  <si>
    <t xml:space="preserve">Tubería EMT 1/2 Pulgada 3m</t>
  </si>
  <si>
    <t xml:space="preserve">Colmena</t>
  </si>
  <si>
    <t xml:space="preserve">Tubería metálica EMT 1/2 pulgada, tramo 3m, canalización eléctrica</t>
  </si>
  <si>
    <t xml:space="preserve">CAN-002</t>
  </si>
  <si>
    <t xml:space="preserve">Tubería EMT 3/4 Pulgada 3m</t>
  </si>
  <si>
    <t xml:space="preserve">Tubería metálica EMT 3/4 pulgada, tramo 3m, canalización</t>
  </si>
  <si>
    <t xml:space="preserve">CAN-003</t>
  </si>
  <si>
    <t xml:space="preserve">Tubería EMT 1 Pulgada 3m</t>
  </si>
  <si>
    <t xml:space="preserve">Tubería metálica EMT 1 pulgada, tramo 3m, canalización de cargas mayores</t>
  </si>
  <si>
    <t xml:space="preserve">CAN-004</t>
  </si>
  <si>
    <t xml:space="preserve">Conduit PVC</t>
  </si>
  <si>
    <t xml:space="preserve">Tubería Conduit PVC 3/4 Pulgada 3m</t>
  </si>
  <si>
    <t xml:space="preserve">Pavco</t>
  </si>
  <si>
    <t xml:space="preserve">Tubería conduit PVC 3/4 pulgada, tramo 3m, canalización empotrada</t>
  </si>
  <si>
    <t xml:space="preserve">CAN-005</t>
  </si>
  <si>
    <t xml:space="preserve">Canaleta</t>
  </si>
  <si>
    <t xml:space="preserve">Canaleta Adhesiva 40x25mm 2m</t>
  </si>
  <si>
    <t xml:space="preserve">Canaleta plástica adhesiva 40x25mm, tramo 2m, cableado a la vista</t>
  </si>
  <si>
    <t xml:space="preserve">CAN-006</t>
  </si>
  <si>
    <t xml:space="preserve">Canaleta Adhesiva 20x12mm 2m</t>
  </si>
  <si>
    <t xml:space="preserve">Canaleta plástica adhesiva 20x12mm, tramo 2m, cableado doméstico</t>
  </si>
  <si>
    <t xml:space="preserve">CAN-007</t>
  </si>
  <si>
    <t xml:space="preserve">Bandeja Portacable</t>
  </si>
  <si>
    <t xml:space="preserve">Bandeja Portacable Tipo Malla 100mm 3m</t>
  </si>
  <si>
    <t xml:space="preserve">Cablofil</t>
  </si>
  <si>
    <t xml:space="preserve">Bandeja portacable tipo malla galvanizada 100mm, tramo 3m, datacenter</t>
  </si>
  <si>
    <t xml:space="preserve">CAN-008</t>
  </si>
  <si>
    <t xml:space="preserve">Bandeja Portacable Tipo Escalera 300mm 3m</t>
  </si>
  <si>
    <t xml:space="preserve">Bandeja portacable tipo escalera 300mm, tramo 3m, uso industrial</t>
  </si>
  <si>
    <t xml:space="preserve">CAN-009</t>
  </si>
  <si>
    <t xml:space="preserve">Caja Metálica 2x4 Galvanizada</t>
  </si>
  <si>
    <t xml:space="preserve">Caja metálica 2x4 galvanizada para tomas e interruptores</t>
  </si>
  <si>
    <t xml:space="preserve">CAN-010</t>
  </si>
  <si>
    <t xml:space="preserve">Caja Octogonal Metálica</t>
  </si>
  <si>
    <t xml:space="preserve">Caja octogonal metálica para salida de luminarias</t>
  </si>
  <si>
    <t xml:space="preserve">SUB-001</t>
  </si>
  <si>
    <t xml:space="preserve">SUBESTACIONES</t>
  </si>
  <si>
    <t xml:space="preserve">Transformador</t>
  </si>
  <si>
    <t xml:space="preserve">Transformador Seco 15kVA Trifásico</t>
  </si>
  <si>
    <t xml:space="preserve">Siemens</t>
  </si>
  <si>
    <t xml:space="preserve">Transformador seco tipo distribución 15kVA trifásico, media tensión</t>
  </si>
  <si>
    <t xml:space="preserve">SUB-002</t>
  </si>
  <si>
    <t xml:space="preserve">Transformador Seco 45kVA Trifásico</t>
  </si>
  <si>
    <t xml:space="preserve">Transformador seco tipo distribución 45kVA trifásico, comercial</t>
  </si>
  <si>
    <t xml:space="preserve">SUB-003</t>
  </si>
  <si>
    <t xml:space="preserve">Transformador Sumergible 75kVA</t>
  </si>
  <si>
    <t xml:space="preserve">ABB</t>
  </si>
  <si>
    <t xml:space="preserve">Transformador sumergible en aceite 75kVA, subestación exterior</t>
  </si>
  <si>
    <t xml:space="preserve">SUB-004</t>
  </si>
  <si>
    <t xml:space="preserve">Celda</t>
  </si>
  <si>
    <t xml:space="preserve">Celda de Media Tensión Seccionador 17.5kV</t>
  </si>
  <si>
    <t xml:space="preserve">Celda de media tensión con seccionador 17.5kV, subestación</t>
  </si>
  <si>
    <t xml:space="preserve">SUB-005</t>
  </si>
  <si>
    <t xml:space="preserve">Cortacircuito</t>
  </si>
  <si>
    <t xml:space="preserve">Cortacircuito Fusible 15kV 100A</t>
  </si>
  <si>
    <t xml:space="preserve">Cortacircuito tipo fusible 15kV 100A, protección de redes de media tensión</t>
  </si>
  <si>
    <t xml:space="preserve">SUB-006</t>
  </si>
  <si>
    <t xml:space="preserve">Pararrayo</t>
  </si>
  <si>
    <t xml:space="preserve">Pararrayo Polimérico 12kV</t>
  </si>
  <si>
    <t xml:space="preserve">Pararrayo polimérico 12kV, protección contra sobretensiones atmosféricas</t>
  </si>
  <si>
    <t xml:space="preserve">TEL-001</t>
  </si>
  <si>
    <t xml:space="preserve">TELECOMUNICACIONES</t>
  </si>
  <si>
    <t xml:space="preserve">Rack</t>
  </si>
  <si>
    <t xml:space="preserve">Rack Abierto 42U 19 Pulgadas</t>
  </si>
  <si>
    <t xml:space="preserve">Rack abierto de piso 42U, 19 pulgadas, centro de datos</t>
  </si>
  <si>
    <t xml:space="preserve">TEL-002</t>
  </si>
  <si>
    <t xml:space="preserve">Gabinete Rack Cerrado 24U con Ventilación</t>
  </si>
  <si>
    <t xml:space="preserve">Gabinete rack cerrado 24U con puerta de vidrio y ventilación</t>
  </si>
  <si>
    <t xml:space="preserve">TEL-003</t>
  </si>
  <si>
    <t xml:space="preserve">Patch Panel</t>
  </si>
  <si>
    <t xml:space="preserve">Patch Panel Cat6 24 Puertos</t>
  </si>
  <si>
    <t xml:space="preserve">Patch panel categoría 6, 24 puertos, montaje en rack 19 pulgadas</t>
  </si>
  <si>
    <t xml:space="preserve">TEL-004</t>
  </si>
  <si>
    <t xml:space="preserve">Patch Cord</t>
  </si>
  <si>
    <t xml:space="preserve">Patch Cord Cat6 3m Azul</t>
  </si>
  <si>
    <t xml:space="preserve">Patch cord categoría 6, 3 metros, azul, conexión de red</t>
  </si>
  <si>
    <t xml:space="preserve">TEL-005</t>
  </si>
  <si>
    <t xml:space="preserve">ODF</t>
  </si>
  <si>
    <t xml:space="preserve">ODF Bandeja Fibra 12 Puertos SC</t>
  </si>
  <si>
    <t xml:space="preserve">Distribuidor de fibra óptica ODF 12 puertos SC, montaje en rack</t>
  </si>
  <si>
    <t xml:space="preserve">TEL-006</t>
  </si>
  <si>
    <t xml:space="preserve">Pigtail</t>
  </si>
  <si>
    <t xml:space="preserve">Pigtail Fibra SC/APC Monomodo (paquete 12)</t>
  </si>
  <si>
    <t xml:space="preserve">Paquete</t>
  </si>
  <si>
    <t xml:space="preserve">Pigtail de fibra óptica SC/APC monomodo, paquete x12, empalme</t>
  </si>
  <si>
    <t xml:space="preserve">TEL-007</t>
  </si>
  <si>
    <t xml:space="preserve">Switch</t>
  </si>
  <si>
    <t xml:space="preserve">Switch Administrable 24 Puertos Gigabit</t>
  </si>
  <si>
    <t xml:space="preserve">Cisco</t>
  </si>
  <si>
    <t xml:space="preserve">Switch administrable 24 puertos gigabit, PoE, redes empresariales</t>
  </si>
  <si>
    <t xml:space="preserve">TEL-008</t>
  </si>
  <si>
    <t xml:space="preserve">Organizador</t>
  </si>
  <si>
    <t xml:space="preserve">Organizador Horizontal Rack 2U</t>
  </si>
  <si>
    <t xml:space="preserve">Organizador horizontal de cables para rack, 2U, gestión de cableado</t>
  </si>
  <si>
    <t xml:space="preserve">HER-001</t>
  </si>
  <si>
    <t xml:space="preserve">HERRAMIENTAS</t>
  </si>
  <si>
    <t xml:space="preserve">Herramienta</t>
  </si>
  <si>
    <t xml:space="preserve">Ponchadora RJ45 Profesional</t>
  </si>
  <si>
    <t xml:space="preserve">Klein Tools</t>
  </si>
  <si>
    <t xml:space="preserve">Ponchadora profesional para conectores RJ45 y RJ11, con corte</t>
  </si>
  <si>
    <t xml:space="preserve">HER-002</t>
  </si>
  <si>
    <t xml:space="preserve">Multímetro Digital True RMS</t>
  </si>
  <si>
    <t xml:space="preserve">Fluke</t>
  </si>
  <si>
    <t xml:space="preserve">Multímetro digital True RMS, medición de voltaje, corriente y resistencia</t>
  </si>
  <si>
    <t xml:space="preserve">HER-003</t>
  </si>
  <si>
    <t xml:space="preserve">Pinza Amperimétrica 600A</t>
  </si>
  <si>
    <t xml:space="preserve">Pinza amperimétrica hasta 600A AC, medición sin contacto</t>
  </si>
  <si>
    <t xml:space="preserve">HER-004</t>
  </si>
  <si>
    <t xml:space="preserve">Peladora de Cable Automática</t>
  </si>
  <si>
    <t xml:space="preserve">Peladora automática de cable, calibres 10-24 AWG</t>
  </si>
  <si>
    <t xml:space="preserve">HER-005</t>
  </si>
  <si>
    <t xml:space="preserve">Accesorio</t>
  </si>
  <si>
    <t xml:space="preserve">Cinta Aislante Negra 3M (unidad)</t>
  </si>
  <si>
    <t xml:space="preserve">Cinta aislante vinílica negra 3M, 18mm x 20m, uso eléctrico</t>
  </si>
  <si>
    <t xml:space="preserve">HER-006</t>
  </si>
  <si>
    <t xml:space="preserve">Amarra Plástica 300mm Negra (100und)</t>
  </si>
  <si>
    <t xml:space="preserve">Amarra plástica UV negra 300mm, bolsa x100, sujeción de cables</t>
  </si>
  <si>
    <t xml:space="preserve">HER-007</t>
  </si>
  <si>
    <t xml:space="preserve">Amarra Plástica 200mm Natural (100und)</t>
  </si>
  <si>
    <t xml:space="preserve">Amarra plástica natural 200mm, bolsa x100, organización de cableado</t>
  </si>
  <si>
    <t xml:space="preserve">HER-008</t>
  </si>
  <si>
    <t xml:space="preserve">Marquilla para Cable Numérica (set)</t>
  </si>
  <si>
    <t xml:space="preserve">Set</t>
  </si>
  <si>
    <t xml:space="preserve">Set de marquillas numéricas para identificación de cables</t>
  </si>
  <si>
    <t xml:space="preserve">RESUMEN POR CATEGORÍA</t>
  </si>
  <si>
    <t xml:space="preserve"># Productos</t>
  </si>
  <si>
    <t xml:space="preserve">Precio Promedio (COP)</t>
  </si>
  <si>
    <t xml:space="preserve">Valor Inventario (COP)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</si>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</sst>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$ &quot;#,##0"/>
    <numFmt numFmtId="166" formatCode="0%"/>
    <numFmt numFmtId="167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2F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3"/>
      <color rgb="FF09562C"/>
      <name val="Arial"/>
      <family val="0"/>
      <charset val="1"/>
    </font>
    <font>
      <b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51716"/>
        <bgColor rgb="FF000000"/>
      </patternFill>
    </fill>
    <fill>
      <patternFill patternType="solid">
        <fgColor rgb="FF09562C"/>
        <bgColor rgb="FF333333"/>
      </patternFill>
    </fill>
    <fill>
      <patternFill patternType="solid">
        <fgColor rgb="FFF2FB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9562C"/>
          <bgColor rgb="FF000000"/>
        </patternFill>
      </fill>
    </dxf>
    <dxf>
      <fill>
        <patternFill patternType="solid">
          <fgColor rgb="FFF2FBF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BF6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12F280"/>
      <rgbColor rgb="FF99CC00"/>
      <rgbColor rgb="FFFFCC00"/>
      <rgbColor rgb="FFFF9900"/>
      <rgbColor rgb="FFFF6600"/>
      <rgbColor rgb="FF666699"/>
      <rgbColor rgb="FF969696"/>
      <rgbColor rgb="FF09562C"/>
      <rgbColor rgb="FF339966"/>
      <rgbColor rgb="FF151716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42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8"/>
    <col collapsed="false" customWidth="true" hidden="false" outlineLevel="0" max="9" min="9" style="0" width="18"/>
    <col collapsed="false" customWidth="true" hidden="false" outlineLevel="0" max="10" min="10" style="0" width="12"/>
    <col collapsed="false" customWidth="true" hidden="false" outlineLevel="0" max="11" min="11" style="0" width="55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5.0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customFormat="false" ht="22.35" hidden="false" customHeight="false" outlineLevel="0" collapsed="false">
      <c r="A3" s="3" t="s">
        <v>12</v>
      </c>
      <c r="B3" s="4" t="s">
        <v>13</v>
      </c>
      <c r="C3" s="4" t="s">
        <v>14</v>
      </c>
      <c r="D3" s="4" t="s">
        <v>15</v>
      </c>
      <c r="E3" s="3" t="s">
        <v>16</v>
      </c>
      <c r="F3" s="3" t="s">
        <v>17</v>
      </c>
      <c r="G3" s="5" t="n">
        <v>28900</v>
      </c>
      <c r="H3" s="6" t="n">
        <v>0.19</v>
      </c>
      <c r="I3" s="5" t="n">
        <f aca="false">G3*(1+H3)</f>
        <v>34391</v>
      </c>
      <c r="J3" s="7" t="n">
        <v>340</v>
      </c>
      <c r="K3" s="8" t="s">
        <v>18</v>
      </c>
    </row>
    <row r="4" customFormat="false" ht="22.35" hidden="false" customHeight="false" outlineLevel="0" collapsed="false">
      <c r="A4" s="9" t="s">
        <v>19</v>
      </c>
      <c r="B4" s="10" t="s">
        <v>13</v>
      </c>
      <c r="C4" s="10" t="s">
        <v>14</v>
      </c>
      <c r="D4" s="10" t="s">
        <v>20</v>
      </c>
      <c r="E4" s="9" t="s">
        <v>21</v>
      </c>
      <c r="F4" s="9" t="s">
        <v>17</v>
      </c>
      <c r="G4" s="11" t="n">
        <v>42500</v>
      </c>
      <c r="H4" s="12" t="n">
        <v>0.19</v>
      </c>
      <c r="I4" s="11" t="n">
        <f aca="false">G4*(1+H4)</f>
        <v>50575</v>
      </c>
      <c r="J4" s="13" t="n">
        <v>215</v>
      </c>
      <c r="K4" s="14" t="s">
        <v>22</v>
      </c>
    </row>
    <row r="5" customFormat="false" ht="15" hidden="false" customHeight="false" outlineLevel="0" collapsed="false">
      <c r="A5" s="3" t="s">
        <v>23</v>
      </c>
      <c r="B5" s="4" t="s">
        <v>13</v>
      </c>
      <c r="C5" s="4" t="s">
        <v>14</v>
      </c>
      <c r="D5" s="4" t="s">
        <v>24</v>
      </c>
      <c r="E5" s="3" t="s">
        <v>25</v>
      </c>
      <c r="F5" s="3" t="s">
        <v>17</v>
      </c>
      <c r="G5" s="5" t="n">
        <v>58900</v>
      </c>
      <c r="H5" s="6" t="n">
        <v>0.19</v>
      </c>
      <c r="I5" s="5" t="n">
        <f aca="false">G5*(1+H5)</f>
        <v>70091</v>
      </c>
      <c r="J5" s="7" t="n">
        <v>180</v>
      </c>
      <c r="K5" s="8" t="s">
        <v>26</v>
      </c>
    </row>
    <row r="6" customFormat="false" ht="15" hidden="false" customHeight="false" outlineLevel="0" collapsed="false">
      <c r="A6" s="9" t="s">
        <v>27</v>
      </c>
      <c r="B6" s="10" t="s">
        <v>13</v>
      </c>
      <c r="C6" s="10" t="s">
        <v>28</v>
      </c>
      <c r="D6" s="10" t="s">
        <v>29</v>
      </c>
      <c r="E6" s="9" t="s">
        <v>16</v>
      </c>
      <c r="F6" s="9" t="s">
        <v>17</v>
      </c>
      <c r="G6" s="11" t="n">
        <v>6900</v>
      </c>
      <c r="H6" s="12" t="n">
        <v>0.19</v>
      </c>
      <c r="I6" s="11" t="n">
        <f aca="false">G6*(1+H6)</f>
        <v>8211</v>
      </c>
      <c r="J6" s="13" t="n">
        <v>1200</v>
      </c>
      <c r="K6" s="14" t="s">
        <v>30</v>
      </c>
    </row>
    <row r="7" customFormat="false" ht="15" hidden="false" customHeight="false" outlineLevel="0" collapsed="false">
      <c r="A7" s="3" t="s">
        <v>31</v>
      </c>
      <c r="B7" s="4" t="s">
        <v>13</v>
      </c>
      <c r="C7" s="4" t="s">
        <v>28</v>
      </c>
      <c r="D7" s="4" t="s">
        <v>32</v>
      </c>
      <c r="E7" s="3" t="s">
        <v>33</v>
      </c>
      <c r="F7" s="3" t="s">
        <v>17</v>
      </c>
      <c r="G7" s="5" t="n">
        <v>8500</v>
      </c>
      <c r="H7" s="6" t="n">
        <v>0.19</v>
      </c>
      <c r="I7" s="5" t="n">
        <f aca="false">G7*(1+H7)</f>
        <v>10115</v>
      </c>
      <c r="J7" s="7" t="n">
        <v>950</v>
      </c>
      <c r="K7" s="8" t="s">
        <v>34</v>
      </c>
    </row>
    <row r="8" customFormat="false" ht="15" hidden="false" customHeight="false" outlineLevel="0" collapsed="false">
      <c r="A8" s="9" t="s">
        <v>35</v>
      </c>
      <c r="B8" s="10" t="s">
        <v>13</v>
      </c>
      <c r="C8" s="10" t="s">
        <v>36</v>
      </c>
      <c r="D8" s="10" t="s">
        <v>37</v>
      </c>
      <c r="E8" s="9" t="s">
        <v>16</v>
      </c>
      <c r="F8" s="9" t="s">
        <v>17</v>
      </c>
      <c r="G8" s="11" t="n">
        <v>12900</v>
      </c>
      <c r="H8" s="12" t="n">
        <v>0.19</v>
      </c>
      <c r="I8" s="11" t="n">
        <f aca="false">G8*(1+H8)</f>
        <v>15351</v>
      </c>
      <c r="J8" s="13" t="n">
        <v>680</v>
      </c>
      <c r="K8" s="14" t="s">
        <v>38</v>
      </c>
    </row>
    <row r="9" customFormat="false" ht="15" hidden="false" customHeight="false" outlineLevel="0" collapsed="false">
      <c r="A9" s="3" t="s">
        <v>39</v>
      </c>
      <c r="B9" s="4" t="s">
        <v>13</v>
      </c>
      <c r="C9" s="4" t="s">
        <v>40</v>
      </c>
      <c r="D9" s="4" t="s">
        <v>41</v>
      </c>
      <c r="E9" s="3" t="s">
        <v>25</v>
      </c>
      <c r="F9" s="3" t="s">
        <v>17</v>
      </c>
      <c r="G9" s="5" t="n">
        <v>64000</v>
      </c>
      <c r="H9" s="6" t="n">
        <v>0.19</v>
      </c>
      <c r="I9" s="5" t="n">
        <f aca="false">G9*(1+H9)</f>
        <v>76160</v>
      </c>
      <c r="J9" s="7" t="n">
        <v>120</v>
      </c>
      <c r="K9" s="8" t="s">
        <v>42</v>
      </c>
    </row>
    <row r="10" customFormat="false" ht="15" hidden="false" customHeight="false" outlineLevel="0" collapsed="false">
      <c r="A10" s="9" t="s">
        <v>43</v>
      </c>
      <c r="B10" s="10" t="s">
        <v>13</v>
      </c>
      <c r="C10" s="10" t="s">
        <v>40</v>
      </c>
      <c r="D10" s="10" t="s">
        <v>44</v>
      </c>
      <c r="E10" s="9" t="s">
        <v>25</v>
      </c>
      <c r="F10" s="9" t="s">
        <v>17</v>
      </c>
      <c r="G10" s="11" t="n">
        <v>118000</v>
      </c>
      <c r="H10" s="12" t="n">
        <v>0.19</v>
      </c>
      <c r="I10" s="11" t="n">
        <f aca="false">G10*(1+H10)</f>
        <v>140420</v>
      </c>
      <c r="J10" s="13" t="n">
        <v>85</v>
      </c>
      <c r="K10" s="14" t="s">
        <v>45</v>
      </c>
    </row>
    <row r="11" customFormat="false" ht="15" hidden="false" customHeight="false" outlineLevel="0" collapsed="false">
      <c r="A11" s="3" t="s">
        <v>46</v>
      </c>
      <c r="B11" s="4" t="s">
        <v>13</v>
      </c>
      <c r="C11" s="4" t="s">
        <v>40</v>
      </c>
      <c r="D11" s="4" t="s">
        <v>47</v>
      </c>
      <c r="E11" s="3" t="s">
        <v>48</v>
      </c>
      <c r="F11" s="3" t="s">
        <v>17</v>
      </c>
      <c r="G11" s="5" t="n">
        <v>289000</v>
      </c>
      <c r="H11" s="6" t="n">
        <v>0.19</v>
      </c>
      <c r="I11" s="5" t="n">
        <f aca="false">G11*(1+H11)</f>
        <v>343910</v>
      </c>
      <c r="J11" s="7" t="n">
        <v>40</v>
      </c>
      <c r="K11" s="8" t="s">
        <v>49</v>
      </c>
    </row>
    <row r="12" customFormat="false" ht="15" hidden="false" customHeight="false" outlineLevel="0" collapsed="false">
      <c r="A12" s="9" t="s">
        <v>50</v>
      </c>
      <c r="B12" s="10" t="s">
        <v>13</v>
      </c>
      <c r="C12" s="10" t="s">
        <v>51</v>
      </c>
      <c r="D12" s="10" t="s">
        <v>52</v>
      </c>
      <c r="E12" s="9" t="s">
        <v>16</v>
      </c>
      <c r="F12" s="9" t="s">
        <v>17</v>
      </c>
      <c r="G12" s="11" t="n">
        <v>245000</v>
      </c>
      <c r="H12" s="12" t="n">
        <v>0.19</v>
      </c>
      <c r="I12" s="11" t="n">
        <f aca="false">G12*(1+H12)</f>
        <v>291550</v>
      </c>
      <c r="J12" s="13" t="n">
        <v>55</v>
      </c>
      <c r="K12" s="14" t="s">
        <v>53</v>
      </c>
    </row>
    <row r="13" customFormat="false" ht="15" hidden="false" customHeight="false" outlineLevel="0" collapsed="false">
      <c r="A13" s="3" t="s">
        <v>54</v>
      </c>
      <c r="B13" s="4" t="s">
        <v>13</v>
      </c>
      <c r="C13" s="4" t="s">
        <v>55</v>
      </c>
      <c r="D13" s="4" t="s">
        <v>56</v>
      </c>
      <c r="E13" s="3" t="s">
        <v>48</v>
      </c>
      <c r="F13" s="3" t="s">
        <v>17</v>
      </c>
      <c r="G13" s="5" t="n">
        <v>198000</v>
      </c>
      <c r="H13" s="6" t="n">
        <v>0.19</v>
      </c>
      <c r="I13" s="5" t="n">
        <f aca="false">G13*(1+H13)</f>
        <v>235620</v>
      </c>
      <c r="J13" s="7" t="n">
        <v>70</v>
      </c>
      <c r="K13" s="8" t="s">
        <v>57</v>
      </c>
    </row>
    <row r="14" customFormat="false" ht="15" hidden="false" customHeight="false" outlineLevel="0" collapsed="false">
      <c r="A14" s="9" t="s">
        <v>58</v>
      </c>
      <c r="B14" s="10" t="s">
        <v>13</v>
      </c>
      <c r="C14" s="10" t="s">
        <v>55</v>
      </c>
      <c r="D14" s="10" t="s">
        <v>59</v>
      </c>
      <c r="E14" s="9" t="s">
        <v>48</v>
      </c>
      <c r="F14" s="9" t="s">
        <v>17</v>
      </c>
      <c r="G14" s="11" t="n">
        <v>345000</v>
      </c>
      <c r="H14" s="12" t="n">
        <v>0.19</v>
      </c>
      <c r="I14" s="11" t="n">
        <f aca="false">G14*(1+H14)</f>
        <v>410550</v>
      </c>
      <c r="J14" s="13" t="n">
        <v>45</v>
      </c>
      <c r="K14" s="14" t="s">
        <v>60</v>
      </c>
    </row>
    <row r="15" customFormat="false" ht="15" hidden="false" customHeight="false" outlineLevel="0" collapsed="false">
      <c r="A15" s="3" t="s">
        <v>61</v>
      </c>
      <c r="B15" s="4" t="s">
        <v>13</v>
      </c>
      <c r="C15" s="4" t="s">
        <v>62</v>
      </c>
      <c r="D15" s="4" t="s">
        <v>63</v>
      </c>
      <c r="E15" s="3" t="s">
        <v>64</v>
      </c>
      <c r="F15" s="3" t="s">
        <v>65</v>
      </c>
      <c r="G15" s="5" t="n">
        <v>34900</v>
      </c>
      <c r="H15" s="6" t="n">
        <v>0.19</v>
      </c>
      <c r="I15" s="5" t="n">
        <f aca="false">G15*(1+H15)</f>
        <v>41531</v>
      </c>
      <c r="J15" s="7" t="n">
        <v>300</v>
      </c>
      <c r="K15" s="8" t="s">
        <v>66</v>
      </c>
    </row>
    <row r="16" customFormat="false" ht="15" hidden="false" customHeight="false" outlineLevel="0" collapsed="false">
      <c r="A16" s="9" t="s">
        <v>67</v>
      </c>
      <c r="B16" s="10" t="s">
        <v>13</v>
      </c>
      <c r="C16" s="10" t="s">
        <v>68</v>
      </c>
      <c r="D16" s="10" t="s">
        <v>69</v>
      </c>
      <c r="E16" s="9" t="s">
        <v>16</v>
      </c>
      <c r="F16" s="9" t="s">
        <v>17</v>
      </c>
      <c r="G16" s="11" t="n">
        <v>38500</v>
      </c>
      <c r="H16" s="12" t="n">
        <v>0.19</v>
      </c>
      <c r="I16" s="11" t="n">
        <f aca="false">G16*(1+H16)</f>
        <v>45815</v>
      </c>
      <c r="J16" s="13" t="n">
        <v>160</v>
      </c>
      <c r="K16" s="14" t="s">
        <v>70</v>
      </c>
    </row>
    <row r="17" customFormat="false" ht="15" hidden="false" customHeight="false" outlineLevel="0" collapsed="false">
      <c r="A17" s="3" t="s">
        <v>71</v>
      </c>
      <c r="B17" s="4" t="s">
        <v>72</v>
      </c>
      <c r="C17" s="4" t="s">
        <v>73</v>
      </c>
      <c r="D17" s="4" t="s">
        <v>74</v>
      </c>
      <c r="E17" s="3" t="s">
        <v>75</v>
      </c>
      <c r="F17" s="3" t="s">
        <v>65</v>
      </c>
      <c r="G17" s="5" t="n">
        <v>148000</v>
      </c>
      <c r="H17" s="6" t="n">
        <v>0.19</v>
      </c>
      <c r="I17" s="5" t="n">
        <f aca="false">G17*(1+H17)</f>
        <v>176120</v>
      </c>
      <c r="J17" s="7" t="n">
        <v>240</v>
      </c>
      <c r="K17" s="8" t="s">
        <v>76</v>
      </c>
    </row>
    <row r="18" customFormat="false" ht="15" hidden="false" customHeight="false" outlineLevel="0" collapsed="false">
      <c r="A18" s="9" t="s">
        <v>77</v>
      </c>
      <c r="B18" s="10" t="s">
        <v>72</v>
      </c>
      <c r="C18" s="10" t="s">
        <v>73</v>
      </c>
      <c r="D18" s="10" t="s">
        <v>78</v>
      </c>
      <c r="E18" s="9" t="s">
        <v>75</v>
      </c>
      <c r="F18" s="9" t="s">
        <v>65</v>
      </c>
      <c r="G18" s="11" t="n">
        <v>228000</v>
      </c>
      <c r="H18" s="12" t="n">
        <v>0.19</v>
      </c>
      <c r="I18" s="11" t="n">
        <f aca="false">G18*(1+H18)</f>
        <v>271320</v>
      </c>
      <c r="J18" s="13" t="n">
        <v>180</v>
      </c>
      <c r="K18" s="14" t="s">
        <v>79</v>
      </c>
    </row>
    <row r="19" customFormat="false" ht="15" hidden="false" customHeight="false" outlineLevel="0" collapsed="false">
      <c r="A19" s="3" t="s">
        <v>80</v>
      </c>
      <c r="B19" s="4" t="s">
        <v>72</v>
      </c>
      <c r="C19" s="4" t="s">
        <v>73</v>
      </c>
      <c r="D19" s="4" t="s">
        <v>81</v>
      </c>
      <c r="E19" s="3" t="s">
        <v>82</v>
      </c>
      <c r="F19" s="3" t="s">
        <v>65</v>
      </c>
      <c r="G19" s="5" t="n">
        <v>362000</v>
      </c>
      <c r="H19" s="6" t="n">
        <v>0.19</v>
      </c>
      <c r="I19" s="5" t="n">
        <f aca="false">G19*(1+H19)</f>
        <v>430780</v>
      </c>
      <c r="J19" s="7" t="n">
        <v>95</v>
      </c>
      <c r="K19" s="8" t="s">
        <v>83</v>
      </c>
    </row>
    <row r="20" customFormat="false" ht="15" hidden="false" customHeight="false" outlineLevel="0" collapsed="false">
      <c r="A20" s="9" t="s">
        <v>84</v>
      </c>
      <c r="B20" s="10" t="s">
        <v>72</v>
      </c>
      <c r="C20" s="10" t="s">
        <v>73</v>
      </c>
      <c r="D20" s="10" t="s">
        <v>85</v>
      </c>
      <c r="E20" s="9" t="s">
        <v>75</v>
      </c>
      <c r="F20" s="9" t="s">
        <v>65</v>
      </c>
      <c r="G20" s="11" t="n">
        <v>96000</v>
      </c>
      <c r="H20" s="12" t="n">
        <v>0.19</v>
      </c>
      <c r="I20" s="11" t="n">
        <f aca="false">G20*(1+H20)</f>
        <v>114240</v>
      </c>
      <c r="J20" s="13" t="n">
        <v>320</v>
      </c>
      <c r="K20" s="14" t="s">
        <v>86</v>
      </c>
    </row>
    <row r="21" customFormat="false" ht="15" hidden="false" customHeight="false" outlineLevel="0" collapsed="false">
      <c r="A21" s="3" t="s">
        <v>87</v>
      </c>
      <c r="B21" s="4" t="s">
        <v>72</v>
      </c>
      <c r="C21" s="4" t="s">
        <v>88</v>
      </c>
      <c r="D21" s="4" t="s">
        <v>89</v>
      </c>
      <c r="E21" s="3" t="s">
        <v>82</v>
      </c>
      <c r="F21" s="3" t="s">
        <v>90</v>
      </c>
      <c r="G21" s="5" t="n">
        <v>3200</v>
      </c>
      <c r="H21" s="6" t="n">
        <v>0.19</v>
      </c>
      <c r="I21" s="5" t="n">
        <f aca="false">G21*(1+H21)</f>
        <v>3808</v>
      </c>
      <c r="J21" s="7" t="n">
        <v>2500</v>
      </c>
      <c r="K21" s="8" t="s">
        <v>91</v>
      </c>
    </row>
    <row r="22" customFormat="false" ht="15" hidden="false" customHeight="false" outlineLevel="0" collapsed="false">
      <c r="A22" s="9" t="s">
        <v>92</v>
      </c>
      <c r="B22" s="10" t="s">
        <v>72</v>
      </c>
      <c r="C22" s="10" t="s">
        <v>93</v>
      </c>
      <c r="D22" s="10" t="s">
        <v>94</v>
      </c>
      <c r="E22" s="9" t="s">
        <v>75</v>
      </c>
      <c r="F22" s="9" t="s">
        <v>90</v>
      </c>
      <c r="G22" s="11" t="n">
        <v>8900</v>
      </c>
      <c r="H22" s="12" t="n">
        <v>0.19</v>
      </c>
      <c r="I22" s="11" t="n">
        <f aca="false">G22*(1+H22)</f>
        <v>10591</v>
      </c>
      <c r="J22" s="13" t="n">
        <v>1400</v>
      </c>
      <c r="K22" s="14" t="s">
        <v>95</v>
      </c>
    </row>
    <row r="23" customFormat="false" ht="15" hidden="false" customHeight="false" outlineLevel="0" collapsed="false">
      <c r="A23" s="3" t="s">
        <v>96</v>
      </c>
      <c r="B23" s="4" t="s">
        <v>72</v>
      </c>
      <c r="C23" s="4" t="s">
        <v>93</v>
      </c>
      <c r="D23" s="4" t="s">
        <v>97</v>
      </c>
      <c r="E23" s="3" t="s">
        <v>82</v>
      </c>
      <c r="F23" s="3" t="s">
        <v>90</v>
      </c>
      <c r="G23" s="5" t="n">
        <v>5400</v>
      </c>
      <c r="H23" s="6" t="n">
        <v>0.19</v>
      </c>
      <c r="I23" s="5" t="n">
        <f aca="false">G23*(1+H23)</f>
        <v>6426</v>
      </c>
      <c r="J23" s="7" t="n">
        <v>1800</v>
      </c>
      <c r="K23" s="8" t="s">
        <v>98</v>
      </c>
    </row>
    <row r="24" customFormat="false" ht="22.35" hidden="false" customHeight="false" outlineLevel="0" collapsed="false">
      <c r="A24" s="9" t="s">
        <v>99</v>
      </c>
      <c r="B24" s="10" t="s">
        <v>72</v>
      </c>
      <c r="C24" s="10" t="s">
        <v>100</v>
      </c>
      <c r="D24" s="10" t="s">
        <v>101</v>
      </c>
      <c r="E24" s="9" t="s">
        <v>102</v>
      </c>
      <c r="F24" s="9" t="s">
        <v>65</v>
      </c>
      <c r="G24" s="11" t="n">
        <v>198000</v>
      </c>
      <c r="H24" s="12" t="n">
        <v>0.19</v>
      </c>
      <c r="I24" s="11" t="n">
        <f aca="false">G24*(1+H24)</f>
        <v>235620</v>
      </c>
      <c r="J24" s="13" t="n">
        <v>60</v>
      </c>
      <c r="K24" s="14" t="s">
        <v>103</v>
      </c>
    </row>
    <row r="25" customFormat="false" ht="15" hidden="false" customHeight="false" outlineLevel="0" collapsed="false">
      <c r="A25" s="3" t="s">
        <v>104</v>
      </c>
      <c r="B25" s="4" t="s">
        <v>72</v>
      </c>
      <c r="C25" s="4" t="s">
        <v>105</v>
      </c>
      <c r="D25" s="4" t="s">
        <v>106</v>
      </c>
      <c r="E25" s="3" t="s">
        <v>107</v>
      </c>
      <c r="F25" s="3" t="s">
        <v>108</v>
      </c>
      <c r="G25" s="5" t="n">
        <v>485000</v>
      </c>
      <c r="H25" s="6" t="n">
        <v>0.19</v>
      </c>
      <c r="I25" s="5" t="n">
        <f aca="false">G25*(1+H25)</f>
        <v>577150</v>
      </c>
      <c r="J25" s="7" t="n">
        <v>110</v>
      </c>
      <c r="K25" s="8" t="s">
        <v>109</v>
      </c>
    </row>
    <row r="26" customFormat="false" ht="15" hidden="false" customHeight="false" outlineLevel="0" collapsed="false">
      <c r="A26" s="9" t="s">
        <v>110</v>
      </c>
      <c r="B26" s="10" t="s">
        <v>72</v>
      </c>
      <c r="C26" s="10" t="s">
        <v>105</v>
      </c>
      <c r="D26" s="10" t="s">
        <v>111</v>
      </c>
      <c r="E26" s="9" t="s">
        <v>112</v>
      </c>
      <c r="F26" s="9" t="s">
        <v>108</v>
      </c>
      <c r="G26" s="11" t="n">
        <v>298000</v>
      </c>
      <c r="H26" s="12" t="n">
        <v>0.19</v>
      </c>
      <c r="I26" s="11" t="n">
        <f aca="false">G26*(1+H26)</f>
        <v>354620</v>
      </c>
      <c r="J26" s="13" t="n">
        <v>140</v>
      </c>
      <c r="K26" s="14" t="s">
        <v>113</v>
      </c>
    </row>
    <row r="27" customFormat="false" ht="15" hidden="false" customHeight="false" outlineLevel="0" collapsed="false">
      <c r="A27" s="3" t="s">
        <v>114</v>
      </c>
      <c r="B27" s="4" t="s">
        <v>72</v>
      </c>
      <c r="C27" s="4" t="s">
        <v>115</v>
      </c>
      <c r="D27" s="4" t="s">
        <v>116</v>
      </c>
      <c r="E27" s="3" t="s">
        <v>112</v>
      </c>
      <c r="F27" s="3" t="s">
        <v>65</v>
      </c>
      <c r="G27" s="5" t="n">
        <v>89000</v>
      </c>
      <c r="H27" s="6" t="n">
        <v>0.19</v>
      </c>
      <c r="I27" s="5" t="n">
        <f aca="false">G27*(1+H27)</f>
        <v>105910</v>
      </c>
      <c r="J27" s="7" t="n">
        <v>130</v>
      </c>
      <c r="K27" s="8" t="s">
        <v>117</v>
      </c>
    </row>
    <row r="28" customFormat="false" ht="15" hidden="false" customHeight="false" outlineLevel="0" collapsed="false">
      <c r="A28" s="9" t="s">
        <v>118</v>
      </c>
      <c r="B28" s="10" t="s">
        <v>72</v>
      </c>
      <c r="C28" s="10" t="s">
        <v>119</v>
      </c>
      <c r="D28" s="10" t="s">
        <v>120</v>
      </c>
      <c r="E28" s="9" t="s">
        <v>121</v>
      </c>
      <c r="F28" s="9" t="s">
        <v>90</v>
      </c>
      <c r="G28" s="11" t="n">
        <v>4800</v>
      </c>
      <c r="H28" s="12" t="n">
        <v>0.19</v>
      </c>
      <c r="I28" s="11" t="n">
        <f aca="false">G28*(1+H28)</f>
        <v>5712</v>
      </c>
      <c r="J28" s="13" t="n">
        <v>3200</v>
      </c>
      <c r="K28" s="14" t="s">
        <v>122</v>
      </c>
    </row>
    <row r="29" customFormat="false" ht="15" hidden="false" customHeight="false" outlineLevel="0" collapsed="false">
      <c r="A29" s="3" t="s">
        <v>123</v>
      </c>
      <c r="B29" s="4" t="s">
        <v>124</v>
      </c>
      <c r="C29" s="4" t="s">
        <v>125</v>
      </c>
      <c r="D29" s="4" t="s">
        <v>126</v>
      </c>
      <c r="E29" s="3" t="s">
        <v>127</v>
      </c>
      <c r="F29" s="3" t="s">
        <v>128</v>
      </c>
      <c r="G29" s="5" t="n">
        <v>18500</v>
      </c>
      <c r="H29" s="6" t="n">
        <v>0.19</v>
      </c>
      <c r="I29" s="5" t="n">
        <f aca="false">G29*(1+H29)</f>
        <v>22015</v>
      </c>
      <c r="J29" s="7" t="n">
        <v>420</v>
      </c>
      <c r="K29" s="8" t="s">
        <v>129</v>
      </c>
    </row>
    <row r="30" customFormat="false" ht="15" hidden="false" customHeight="false" outlineLevel="0" collapsed="false">
      <c r="A30" s="9" t="s">
        <v>130</v>
      </c>
      <c r="B30" s="10" t="s">
        <v>124</v>
      </c>
      <c r="C30" s="10" t="s">
        <v>125</v>
      </c>
      <c r="D30" s="10" t="s">
        <v>131</v>
      </c>
      <c r="E30" s="9" t="s">
        <v>107</v>
      </c>
      <c r="F30" s="9" t="s">
        <v>128</v>
      </c>
      <c r="G30" s="11" t="n">
        <v>24000</v>
      </c>
      <c r="H30" s="12" t="n">
        <v>0.19</v>
      </c>
      <c r="I30" s="11" t="n">
        <f aca="false">G30*(1+H30)</f>
        <v>28560</v>
      </c>
      <c r="J30" s="13" t="n">
        <v>310</v>
      </c>
      <c r="K30" s="14" t="s">
        <v>132</v>
      </c>
    </row>
    <row r="31" customFormat="false" ht="15" hidden="false" customHeight="false" outlineLevel="0" collapsed="false">
      <c r="A31" s="3" t="s">
        <v>133</v>
      </c>
      <c r="B31" s="4" t="s">
        <v>124</v>
      </c>
      <c r="C31" s="4" t="s">
        <v>134</v>
      </c>
      <c r="D31" s="4" t="s">
        <v>135</v>
      </c>
      <c r="E31" s="3" t="s">
        <v>127</v>
      </c>
      <c r="F31" s="3" t="s">
        <v>128</v>
      </c>
      <c r="G31" s="5" t="n">
        <v>22000</v>
      </c>
      <c r="H31" s="6" t="n">
        <v>0.19</v>
      </c>
      <c r="I31" s="5" t="n">
        <f aca="false">G31*(1+H31)</f>
        <v>26180</v>
      </c>
      <c r="J31" s="7" t="n">
        <v>500</v>
      </c>
      <c r="K31" s="8" t="s">
        <v>136</v>
      </c>
    </row>
    <row r="32" customFormat="false" ht="15" hidden="false" customHeight="false" outlineLevel="0" collapsed="false">
      <c r="A32" s="9" t="s">
        <v>137</v>
      </c>
      <c r="B32" s="10" t="s">
        <v>124</v>
      </c>
      <c r="C32" s="10" t="s">
        <v>138</v>
      </c>
      <c r="D32" s="10" t="s">
        <v>139</v>
      </c>
      <c r="E32" s="9" t="s">
        <v>107</v>
      </c>
      <c r="F32" s="9" t="s">
        <v>128</v>
      </c>
      <c r="G32" s="11" t="n">
        <v>68000</v>
      </c>
      <c r="H32" s="12" t="n">
        <v>0.19</v>
      </c>
      <c r="I32" s="11" t="n">
        <f aca="false">G32*(1+H32)</f>
        <v>80920</v>
      </c>
      <c r="J32" s="13" t="n">
        <v>260</v>
      </c>
      <c r="K32" s="14" t="s">
        <v>140</v>
      </c>
    </row>
    <row r="33" customFormat="false" ht="15" hidden="false" customHeight="false" outlineLevel="0" collapsed="false">
      <c r="A33" s="3" t="s">
        <v>141</v>
      </c>
      <c r="B33" s="4" t="s">
        <v>124</v>
      </c>
      <c r="C33" s="4" t="s">
        <v>138</v>
      </c>
      <c r="D33" s="4" t="s">
        <v>142</v>
      </c>
      <c r="E33" s="3" t="s">
        <v>112</v>
      </c>
      <c r="F33" s="3" t="s">
        <v>128</v>
      </c>
      <c r="G33" s="5" t="n">
        <v>38000</v>
      </c>
      <c r="H33" s="6" t="n">
        <v>0.19</v>
      </c>
      <c r="I33" s="5" t="n">
        <f aca="false">G33*(1+H33)</f>
        <v>45220</v>
      </c>
      <c r="J33" s="7" t="n">
        <v>340</v>
      </c>
      <c r="K33" s="8" t="s">
        <v>143</v>
      </c>
    </row>
    <row r="34" customFormat="false" ht="15" hidden="false" customHeight="false" outlineLevel="0" collapsed="false">
      <c r="A34" s="9" t="s">
        <v>144</v>
      </c>
      <c r="B34" s="10" t="s">
        <v>124</v>
      </c>
      <c r="C34" s="10" t="s">
        <v>145</v>
      </c>
      <c r="D34" s="10" t="s">
        <v>146</v>
      </c>
      <c r="E34" s="9" t="s">
        <v>147</v>
      </c>
      <c r="F34" s="9" t="s">
        <v>17</v>
      </c>
      <c r="G34" s="11" t="n">
        <v>14500</v>
      </c>
      <c r="H34" s="12" t="n">
        <v>0.19</v>
      </c>
      <c r="I34" s="11" t="n">
        <f aca="false">G34*(1+H34)</f>
        <v>17255</v>
      </c>
      <c r="J34" s="13" t="n">
        <v>180</v>
      </c>
      <c r="K34" s="14" t="s">
        <v>148</v>
      </c>
    </row>
    <row r="35" customFormat="false" ht="15" hidden="false" customHeight="false" outlineLevel="0" collapsed="false">
      <c r="A35" s="3" t="s">
        <v>149</v>
      </c>
      <c r="B35" s="4" t="s">
        <v>124</v>
      </c>
      <c r="C35" s="4" t="s">
        <v>150</v>
      </c>
      <c r="D35" s="4" t="s">
        <v>151</v>
      </c>
      <c r="E35" s="3" t="s">
        <v>152</v>
      </c>
      <c r="F35" s="3" t="s">
        <v>128</v>
      </c>
      <c r="G35" s="5" t="n">
        <v>29000</v>
      </c>
      <c r="H35" s="6" t="n">
        <v>0.19</v>
      </c>
      <c r="I35" s="5" t="n">
        <f aca="false">G35*(1+H35)</f>
        <v>34510</v>
      </c>
      <c r="J35" s="7" t="n">
        <v>220</v>
      </c>
      <c r="K35" s="8" t="s">
        <v>153</v>
      </c>
    </row>
    <row r="36" customFormat="false" ht="15" hidden="false" customHeight="false" outlineLevel="0" collapsed="false">
      <c r="A36" s="9" t="s">
        <v>154</v>
      </c>
      <c r="B36" s="10" t="s">
        <v>155</v>
      </c>
      <c r="C36" s="10" t="s">
        <v>156</v>
      </c>
      <c r="D36" s="10" t="s">
        <v>157</v>
      </c>
      <c r="E36" s="9" t="s">
        <v>158</v>
      </c>
      <c r="F36" s="9" t="s">
        <v>17</v>
      </c>
      <c r="G36" s="11" t="n">
        <v>312000</v>
      </c>
      <c r="H36" s="12" t="n">
        <v>0.19</v>
      </c>
      <c r="I36" s="11" t="n">
        <f aca="false">G36*(1+H36)</f>
        <v>371280</v>
      </c>
      <c r="J36" s="13" t="n">
        <v>90</v>
      </c>
      <c r="K36" s="14" t="s">
        <v>159</v>
      </c>
    </row>
    <row r="37" customFormat="false" ht="15" hidden="false" customHeight="false" outlineLevel="0" collapsed="false">
      <c r="A37" s="3" t="s">
        <v>160</v>
      </c>
      <c r="B37" s="4" t="s">
        <v>155</v>
      </c>
      <c r="C37" s="4" t="s">
        <v>156</v>
      </c>
      <c r="D37" s="4" t="s">
        <v>161</v>
      </c>
      <c r="E37" s="3" t="s">
        <v>158</v>
      </c>
      <c r="F37" s="3" t="s">
        <v>17</v>
      </c>
      <c r="G37" s="5" t="n">
        <v>698000</v>
      </c>
      <c r="H37" s="6" t="n">
        <v>0.19</v>
      </c>
      <c r="I37" s="5" t="n">
        <f aca="false">G37*(1+H37)</f>
        <v>830620</v>
      </c>
      <c r="J37" s="7" t="n">
        <v>55</v>
      </c>
      <c r="K37" s="8" t="s">
        <v>162</v>
      </c>
    </row>
    <row r="38" customFormat="false" ht="15" hidden="false" customHeight="false" outlineLevel="0" collapsed="false">
      <c r="A38" s="9" t="s">
        <v>163</v>
      </c>
      <c r="B38" s="10" t="s">
        <v>155</v>
      </c>
      <c r="C38" s="10" t="s">
        <v>164</v>
      </c>
      <c r="D38" s="10" t="s">
        <v>165</v>
      </c>
      <c r="E38" s="9" t="s">
        <v>166</v>
      </c>
      <c r="F38" s="9" t="s">
        <v>17</v>
      </c>
      <c r="G38" s="11" t="n">
        <v>3450000</v>
      </c>
      <c r="H38" s="12" t="n">
        <v>0.19</v>
      </c>
      <c r="I38" s="11" t="n">
        <f aca="false">G38*(1+H38)</f>
        <v>4105500</v>
      </c>
      <c r="J38" s="13" t="n">
        <v>18</v>
      </c>
      <c r="K38" s="14" t="s">
        <v>167</v>
      </c>
    </row>
    <row r="39" customFormat="false" ht="15" hidden="false" customHeight="false" outlineLevel="0" collapsed="false">
      <c r="A39" s="3" t="s">
        <v>168</v>
      </c>
      <c r="B39" s="4" t="s">
        <v>155</v>
      </c>
      <c r="C39" s="4" t="s">
        <v>164</v>
      </c>
      <c r="D39" s="4" t="s">
        <v>169</v>
      </c>
      <c r="E39" s="3" t="s">
        <v>166</v>
      </c>
      <c r="F39" s="3" t="s">
        <v>17</v>
      </c>
      <c r="G39" s="5" t="n">
        <v>6890000</v>
      </c>
      <c r="H39" s="6" t="n">
        <v>0.19</v>
      </c>
      <c r="I39" s="5" t="n">
        <f aca="false">G39*(1+H39)</f>
        <v>8199100</v>
      </c>
      <c r="J39" s="7" t="n">
        <v>10</v>
      </c>
      <c r="K39" s="8" t="s">
        <v>170</v>
      </c>
    </row>
    <row r="40" customFormat="false" ht="15" hidden="false" customHeight="false" outlineLevel="0" collapsed="false">
      <c r="A40" s="9" t="s">
        <v>171</v>
      </c>
      <c r="B40" s="10" t="s">
        <v>155</v>
      </c>
      <c r="C40" s="10" t="s">
        <v>172</v>
      </c>
      <c r="D40" s="10" t="s">
        <v>173</v>
      </c>
      <c r="E40" s="9" t="s">
        <v>174</v>
      </c>
      <c r="F40" s="9" t="s">
        <v>17</v>
      </c>
      <c r="G40" s="11" t="n">
        <v>89000</v>
      </c>
      <c r="H40" s="12" t="n">
        <v>0.19</v>
      </c>
      <c r="I40" s="11" t="n">
        <f aca="false">G40*(1+H40)</f>
        <v>105910</v>
      </c>
      <c r="J40" s="13" t="n">
        <v>140</v>
      </c>
      <c r="K40" s="14" t="s">
        <v>175</v>
      </c>
    </row>
    <row r="41" customFormat="false" ht="15" hidden="false" customHeight="false" outlineLevel="0" collapsed="false">
      <c r="A41" s="3" t="s">
        <v>176</v>
      </c>
      <c r="B41" s="4" t="s">
        <v>155</v>
      </c>
      <c r="C41" s="4" t="s">
        <v>177</v>
      </c>
      <c r="D41" s="4" t="s">
        <v>178</v>
      </c>
      <c r="E41" s="3" t="s">
        <v>179</v>
      </c>
      <c r="F41" s="3" t="s">
        <v>17</v>
      </c>
      <c r="G41" s="5" t="n">
        <v>78000</v>
      </c>
      <c r="H41" s="6" t="n">
        <v>0.19</v>
      </c>
      <c r="I41" s="5" t="n">
        <f aca="false">G41*(1+H41)</f>
        <v>92820</v>
      </c>
      <c r="J41" s="7" t="n">
        <v>200</v>
      </c>
      <c r="K41" s="8" t="s">
        <v>180</v>
      </c>
    </row>
    <row r="42" customFormat="false" ht="15" hidden="false" customHeight="false" outlineLevel="0" collapsed="false">
      <c r="A42" s="9" t="s">
        <v>181</v>
      </c>
      <c r="B42" s="10" t="s">
        <v>155</v>
      </c>
      <c r="C42" s="10" t="s">
        <v>177</v>
      </c>
      <c r="D42" s="10" t="s">
        <v>182</v>
      </c>
      <c r="E42" s="9" t="s">
        <v>179</v>
      </c>
      <c r="F42" s="9" t="s">
        <v>17</v>
      </c>
      <c r="G42" s="11" t="n">
        <v>645000</v>
      </c>
      <c r="H42" s="12" t="n">
        <v>0.19</v>
      </c>
      <c r="I42" s="11" t="n">
        <f aca="false">G42*(1+H42)</f>
        <v>767550</v>
      </c>
      <c r="J42" s="13" t="n">
        <v>45</v>
      </c>
      <c r="K42" s="14" t="s">
        <v>183</v>
      </c>
    </row>
    <row r="43" customFormat="false" ht="15" hidden="false" customHeight="false" outlineLevel="0" collapsed="false">
      <c r="A43" s="3" t="s">
        <v>184</v>
      </c>
      <c r="B43" s="4" t="s">
        <v>155</v>
      </c>
      <c r="C43" s="4" t="s">
        <v>185</v>
      </c>
      <c r="D43" s="4" t="s">
        <v>186</v>
      </c>
      <c r="E43" s="3" t="s">
        <v>187</v>
      </c>
      <c r="F43" s="3" t="s">
        <v>17</v>
      </c>
      <c r="G43" s="5" t="n">
        <v>1890000</v>
      </c>
      <c r="H43" s="6" t="n">
        <v>0.19</v>
      </c>
      <c r="I43" s="5" t="n">
        <f aca="false">G43*(1+H43)</f>
        <v>2249100</v>
      </c>
      <c r="J43" s="7" t="n">
        <v>22</v>
      </c>
      <c r="K43" s="8" t="s">
        <v>188</v>
      </c>
    </row>
    <row r="44" customFormat="false" ht="15" hidden="false" customHeight="false" outlineLevel="0" collapsed="false">
      <c r="A44" s="9" t="s">
        <v>189</v>
      </c>
      <c r="B44" s="10" t="s">
        <v>190</v>
      </c>
      <c r="C44" s="10" t="s">
        <v>191</v>
      </c>
      <c r="D44" s="10" t="s">
        <v>192</v>
      </c>
      <c r="E44" s="9" t="s">
        <v>25</v>
      </c>
      <c r="F44" s="9" t="s">
        <v>17</v>
      </c>
      <c r="G44" s="11" t="n">
        <v>118000</v>
      </c>
      <c r="H44" s="12" t="n">
        <v>0.19</v>
      </c>
      <c r="I44" s="11" t="n">
        <f aca="false">G44*(1+H44)</f>
        <v>140420</v>
      </c>
      <c r="J44" s="13" t="n">
        <v>130</v>
      </c>
      <c r="K44" s="14" t="s">
        <v>193</v>
      </c>
    </row>
    <row r="45" customFormat="false" ht="15" hidden="false" customHeight="false" outlineLevel="0" collapsed="false">
      <c r="A45" s="3" t="s">
        <v>194</v>
      </c>
      <c r="B45" s="4" t="s">
        <v>190</v>
      </c>
      <c r="C45" s="4" t="s">
        <v>191</v>
      </c>
      <c r="D45" s="4" t="s">
        <v>195</v>
      </c>
      <c r="E45" s="3" t="s">
        <v>152</v>
      </c>
      <c r="F45" s="3" t="s">
        <v>17</v>
      </c>
      <c r="G45" s="5" t="n">
        <v>168000</v>
      </c>
      <c r="H45" s="6" t="n">
        <v>0.19</v>
      </c>
      <c r="I45" s="5" t="n">
        <f aca="false">G45*(1+H45)</f>
        <v>199920</v>
      </c>
      <c r="J45" s="7" t="n">
        <v>95</v>
      </c>
      <c r="K45" s="8" t="s">
        <v>196</v>
      </c>
    </row>
    <row r="46" customFormat="false" ht="15" hidden="false" customHeight="false" outlineLevel="0" collapsed="false">
      <c r="A46" s="9" t="s">
        <v>197</v>
      </c>
      <c r="B46" s="10" t="s">
        <v>190</v>
      </c>
      <c r="C46" s="10" t="s">
        <v>191</v>
      </c>
      <c r="D46" s="10" t="s">
        <v>198</v>
      </c>
      <c r="E46" s="9" t="s">
        <v>25</v>
      </c>
      <c r="F46" s="9" t="s">
        <v>17</v>
      </c>
      <c r="G46" s="11" t="n">
        <v>298000</v>
      </c>
      <c r="H46" s="12" t="n">
        <v>0.19</v>
      </c>
      <c r="I46" s="11" t="n">
        <f aca="false">G46*(1+H46)</f>
        <v>354620</v>
      </c>
      <c r="J46" s="13" t="n">
        <v>60</v>
      </c>
      <c r="K46" s="14" t="s">
        <v>199</v>
      </c>
    </row>
    <row r="47" customFormat="false" ht="22.35" hidden="false" customHeight="false" outlineLevel="0" collapsed="false">
      <c r="A47" s="3" t="s">
        <v>200</v>
      </c>
      <c r="B47" s="4" t="s">
        <v>190</v>
      </c>
      <c r="C47" s="4" t="s">
        <v>201</v>
      </c>
      <c r="D47" s="4" t="s">
        <v>202</v>
      </c>
      <c r="E47" s="3" t="s">
        <v>152</v>
      </c>
      <c r="F47" s="3" t="s">
        <v>17</v>
      </c>
      <c r="G47" s="5" t="n">
        <v>134000</v>
      </c>
      <c r="H47" s="6" t="n">
        <v>0.19</v>
      </c>
      <c r="I47" s="5" t="n">
        <f aca="false">G47*(1+H47)</f>
        <v>159460</v>
      </c>
      <c r="J47" s="7" t="n">
        <v>80</v>
      </c>
      <c r="K47" s="8" t="s">
        <v>203</v>
      </c>
    </row>
    <row r="48" customFormat="false" ht="15" hidden="false" customHeight="false" outlineLevel="0" collapsed="false">
      <c r="A48" s="9" t="s">
        <v>204</v>
      </c>
      <c r="B48" s="10" t="s">
        <v>190</v>
      </c>
      <c r="C48" s="10" t="s">
        <v>201</v>
      </c>
      <c r="D48" s="10" t="s">
        <v>205</v>
      </c>
      <c r="E48" s="9" t="s">
        <v>152</v>
      </c>
      <c r="F48" s="9" t="s">
        <v>17</v>
      </c>
      <c r="G48" s="11" t="n">
        <v>245000</v>
      </c>
      <c r="H48" s="12" t="n">
        <v>0.19</v>
      </c>
      <c r="I48" s="11" t="n">
        <f aca="false">G48*(1+H48)</f>
        <v>291550</v>
      </c>
      <c r="J48" s="13" t="n">
        <v>50</v>
      </c>
      <c r="K48" s="14" t="s">
        <v>206</v>
      </c>
    </row>
    <row r="49" customFormat="false" ht="15" hidden="false" customHeight="false" outlineLevel="0" collapsed="false">
      <c r="A49" s="3" t="s">
        <v>207</v>
      </c>
      <c r="B49" s="4" t="s">
        <v>190</v>
      </c>
      <c r="C49" s="4" t="s">
        <v>208</v>
      </c>
      <c r="D49" s="4" t="s">
        <v>209</v>
      </c>
      <c r="E49" s="3" t="s">
        <v>64</v>
      </c>
      <c r="F49" s="3" t="s">
        <v>17</v>
      </c>
      <c r="G49" s="5" t="n">
        <v>56000</v>
      </c>
      <c r="H49" s="6" t="n">
        <v>0.19</v>
      </c>
      <c r="I49" s="5" t="n">
        <f aca="false">G49*(1+H49)</f>
        <v>66640</v>
      </c>
      <c r="J49" s="7" t="n">
        <v>110</v>
      </c>
      <c r="K49" s="8" t="s">
        <v>210</v>
      </c>
    </row>
    <row r="50" customFormat="false" ht="15" hidden="false" customHeight="false" outlineLevel="0" collapsed="false">
      <c r="A50" s="9" t="s">
        <v>211</v>
      </c>
      <c r="B50" s="10" t="s">
        <v>190</v>
      </c>
      <c r="C50" s="10" t="s">
        <v>212</v>
      </c>
      <c r="D50" s="10" t="s">
        <v>213</v>
      </c>
      <c r="E50" s="9" t="s">
        <v>152</v>
      </c>
      <c r="F50" s="9" t="s">
        <v>17</v>
      </c>
      <c r="G50" s="11" t="n">
        <v>8900</v>
      </c>
      <c r="H50" s="12" t="n">
        <v>0.19</v>
      </c>
      <c r="I50" s="11" t="n">
        <f aca="false">G50*(1+H50)</f>
        <v>10591</v>
      </c>
      <c r="J50" s="13" t="n">
        <v>600</v>
      </c>
      <c r="K50" s="14" t="s">
        <v>214</v>
      </c>
    </row>
    <row r="51" customFormat="false" ht="15" hidden="false" customHeight="false" outlineLevel="0" collapsed="false">
      <c r="A51" s="3" t="s">
        <v>215</v>
      </c>
      <c r="B51" s="4" t="s">
        <v>216</v>
      </c>
      <c r="C51" s="4" t="s">
        <v>217</v>
      </c>
      <c r="D51" s="4" t="s">
        <v>218</v>
      </c>
      <c r="E51" s="3" t="s">
        <v>25</v>
      </c>
      <c r="F51" s="3" t="s">
        <v>17</v>
      </c>
      <c r="G51" s="5" t="n">
        <v>9800</v>
      </c>
      <c r="H51" s="6" t="n">
        <v>0.19</v>
      </c>
      <c r="I51" s="5" t="n">
        <f aca="false">G51*(1+H51)</f>
        <v>11662</v>
      </c>
      <c r="J51" s="7" t="n">
        <v>900</v>
      </c>
      <c r="K51" s="8" t="s">
        <v>219</v>
      </c>
    </row>
    <row r="52" customFormat="false" ht="15" hidden="false" customHeight="false" outlineLevel="0" collapsed="false">
      <c r="A52" s="9" t="s">
        <v>220</v>
      </c>
      <c r="B52" s="10" t="s">
        <v>216</v>
      </c>
      <c r="C52" s="10" t="s">
        <v>217</v>
      </c>
      <c r="D52" s="10" t="s">
        <v>221</v>
      </c>
      <c r="E52" s="9" t="s">
        <v>25</v>
      </c>
      <c r="F52" s="9" t="s">
        <v>17</v>
      </c>
      <c r="G52" s="11" t="n">
        <v>24500</v>
      </c>
      <c r="H52" s="12" t="n">
        <v>0.19</v>
      </c>
      <c r="I52" s="11" t="n">
        <f aca="false">G52*(1+H52)</f>
        <v>29155</v>
      </c>
      <c r="J52" s="13" t="n">
        <v>540</v>
      </c>
      <c r="K52" s="14" t="s">
        <v>222</v>
      </c>
    </row>
    <row r="53" customFormat="false" ht="15" hidden="false" customHeight="false" outlineLevel="0" collapsed="false">
      <c r="A53" s="3" t="s">
        <v>223</v>
      </c>
      <c r="B53" s="4" t="s">
        <v>216</v>
      </c>
      <c r="C53" s="4" t="s">
        <v>217</v>
      </c>
      <c r="D53" s="4" t="s">
        <v>224</v>
      </c>
      <c r="E53" s="3" t="s">
        <v>25</v>
      </c>
      <c r="F53" s="3" t="s">
        <v>17</v>
      </c>
      <c r="G53" s="5" t="n">
        <v>52000</v>
      </c>
      <c r="H53" s="6" t="n">
        <v>0.19</v>
      </c>
      <c r="I53" s="5" t="n">
        <f aca="false">G53*(1+H53)</f>
        <v>61880</v>
      </c>
      <c r="J53" s="7" t="n">
        <v>260</v>
      </c>
      <c r="K53" s="8" t="s">
        <v>225</v>
      </c>
    </row>
    <row r="54" customFormat="false" ht="15" hidden="false" customHeight="false" outlineLevel="0" collapsed="false">
      <c r="A54" s="9" t="s">
        <v>226</v>
      </c>
      <c r="B54" s="10" t="s">
        <v>216</v>
      </c>
      <c r="C54" s="10" t="s">
        <v>227</v>
      </c>
      <c r="D54" s="10" t="s">
        <v>228</v>
      </c>
      <c r="E54" s="9" t="s">
        <v>25</v>
      </c>
      <c r="F54" s="9" t="s">
        <v>17</v>
      </c>
      <c r="G54" s="11" t="n">
        <v>289000</v>
      </c>
      <c r="H54" s="12" t="n">
        <v>0.19</v>
      </c>
      <c r="I54" s="11" t="n">
        <f aca="false">G54*(1+H54)</f>
        <v>343910</v>
      </c>
      <c r="J54" s="13" t="n">
        <v>70</v>
      </c>
      <c r="K54" s="14" t="s">
        <v>229</v>
      </c>
    </row>
    <row r="55" customFormat="false" ht="15" hidden="false" customHeight="false" outlineLevel="0" collapsed="false">
      <c r="A55" s="3" t="s">
        <v>230</v>
      </c>
      <c r="B55" s="4" t="s">
        <v>216</v>
      </c>
      <c r="C55" s="4" t="s">
        <v>227</v>
      </c>
      <c r="D55" s="4" t="s">
        <v>231</v>
      </c>
      <c r="E55" s="3" t="s">
        <v>25</v>
      </c>
      <c r="F55" s="3" t="s">
        <v>17</v>
      </c>
      <c r="G55" s="5" t="n">
        <v>568000</v>
      </c>
      <c r="H55" s="6" t="n">
        <v>0.19</v>
      </c>
      <c r="I55" s="5" t="n">
        <f aca="false">G55*(1+H55)</f>
        <v>675920</v>
      </c>
      <c r="J55" s="7" t="n">
        <v>35</v>
      </c>
      <c r="K55" s="8" t="s">
        <v>232</v>
      </c>
    </row>
    <row r="56" customFormat="false" ht="15" hidden="false" customHeight="false" outlineLevel="0" collapsed="false">
      <c r="A56" s="9" t="s">
        <v>233</v>
      </c>
      <c r="B56" s="10" t="s">
        <v>216</v>
      </c>
      <c r="C56" s="10" t="s">
        <v>234</v>
      </c>
      <c r="D56" s="10" t="s">
        <v>235</v>
      </c>
      <c r="E56" s="9" t="s">
        <v>152</v>
      </c>
      <c r="F56" s="9" t="s">
        <v>17</v>
      </c>
      <c r="G56" s="11" t="n">
        <v>178000</v>
      </c>
      <c r="H56" s="12" t="n">
        <v>0.19</v>
      </c>
      <c r="I56" s="11" t="n">
        <f aca="false">G56*(1+H56)</f>
        <v>211820</v>
      </c>
      <c r="J56" s="13" t="n">
        <v>85</v>
      </c>
      <c r="K56" s="14" t="s">
        <v>236</v>
      </c>
    </row>
    <row r="57" customFormat="false" ht="22.35" hidden="false" customHeight="false" outlineLevel="0" collapsed="false">
      <c r="A57" s="3" t="s">
        <v>237</v>
      </c>
      <c r="B57" s="4" t="s">
        <v>216</v>
      </c>
      <c r="C57" s="4" t="s">
        <v>238</v>
      </c>
      <c r="D57" s="4" t="s">
        <v>239</v>
      </c>
      <c r="E57" s="3" t="s">
        <v>25</v>
      </c>
      <c r="F57" s="3" t="s">
        <v>17</v>
      </c>
      <c r="G57" s="5" t="n">
        <v>78000</v>
      </c>
      <c r="H57" s="6" t="n">
        <v>0.19</v>
      </c>
      <c r="I57" s="5" t="n">
        <f aca="false">G57*(1+H57)</f>
        <v>92820</v>
      </c>
      <c r="J57" s="7" t="n">
        <v>120</v>
      </c>
      <c r="K57" s="8" t="s">
        <v>240</v>
      </c>
    </row>
    <row r="58" customFormat="false" ht="15" hidden="false" customHeight="false" outlineLevel="0" collapsed="false">
      <c r="A58" s="9" t="s">
        <v>241</v>
      </c>
      <c r="B58" s="10" t="s">
        <v>216</v>
      </c>
      <c r="C58" s="10" t="s">
        <v>242</v>
      </c>
      <c r="D58" s="10" t="s">
        <v>243</v>
      </c>
      <c r="E58" s="9" t="s">
        <v>25</v>
      </c>
      <c r="F58" s="9" t="s">
        <v>17</v>
      </c>
      <c r="G58" s="11" t="n">
        <v>64000</v>
      </c>
      <c r="H58" s="12" t="n">
        <v>0.19</v>
      </c>
      <c r="I58" s="11" t="n">
        <f aca="false">G58*(1+H58)</f>
        <v>76160</v>
      </c>
      <c r="J58" s="13" t="n">
        <v>150</v>
      </c>
      <c r="K58" s="14" t="s">
        <v>244</v>
      </c>
    </row>
    <row r="59" customFormat="false" ht="22.35" hidden="false" customHeight="false" outlineLevel="0" collapsed="false">
      <c r="A59" s="3" t="s">
        <v>245</v>
      </c>
      <c r="B59" s="4" t="s">
        <v>216</v>
      </c>
      <c r="C59" s="4" t="s">
        <v>246</v>
      </c>
      <c r="D59" s="4" t="s">
        <v>247</v>
      </c>
      <c r="E59" s="3" t="s">
        <v>25</v>
      </c>
      <c r="F59" s="3" t="s">
        <v>17</v>
      </c>
      <c r="G59" s="5" t="n">
        <v>112000</v>
      </c>
      <c r="H59" s="6" t="n">
        <v>0.19</v>
      </c>
      <c r="I59" s="5" t="n">
        <f aca="false">G59*(1+H59)</f>
        <v>133280</v>
      </c>
      <c r="J59" s="7" t="n">
        <v>90</v>
      </c>
      <c r="K59" s="8" t="s">
        <v>248</v>
      </c>
    </row>
    <row r="60" customFormat="false" ht="15" hidden="false" customHeight="false" outlineLevel="0" collapsed="false">
      <c r="A60" s="9" t="s">
        <v>249</v>
      </c>
      <c r="B60" s="10" t="s">
        <v>250</v>
      </c>
      <c r="C60" s="10" t="s">
        <v>251</v>
      </c>
      <c r="D60" s="10" t="s">
        <v>252</v>
      </c>
      <c r="E60" s="9" t="s">
        <v>25</v>
      </c>
      <c r="F60" s="9" t="s">
        <v>17</v>
      </c>
      <c r="G60" s="11" t="n">
        <v>7200</v>
      </c>
      <c r="H60" s="12" t="n">
        <v>0.19</v>
      </c>
      <c r="I60" s="11" t="n">
        <f aca="false">G60*(1+H60)</f>
        <v>8568</v>
      </c>
      <c r="J60" s="13" t="n">
        <v>1100</v>
      </c>
      <c r="K60" s="14" t="s">
        <v>253</v>
      </c>
    </row>
    <row r="61" customFormat="false" ht="15" hidden="false" customHeight="false" outlineLevel="0" collapsed="false">
      <c r="A61" s="3" t="s">
        <v>254</v>
      </c>
      <c r="B61" s="4" t="s">
        <v>250</v>
      </c>
      <c r="C61" s="4" t="s">
        <v>251</v>
      </c>
      <c r="D61" s="4" t="s">
        <v>255</v>
      </c>
      <c r="E61" s="3" t="s">
        <v>152</v>
      </c>
      <c r="F61" s="3" t="s">
        <v>17</v>
      </c>
      <c r="G61" s="5" t="n">
        <v>42000</v>
      </c>
      <c r="H61" s="6" t="n">
        <v>0.19</v>
      </c>
      <c r="I61" s="5" t="n">
        <f aca="false">G61*(1+H61)</f>
        <v>49980</v>
      </c>
      <c r="J61" s="7" t="n">
        <v>240</v>
      </c>
      <c r="K61" s="8" t="s">
        <v>256</v>
      </c>
    </row>
    <row r="62" customFormat="false" ht="15" hidden="false" customHeight="false" outlineLevel="0" collapsed="false">
      <c r="A62" s="9" t="s">
        <v>257</v>
      </c>
      <c r="B62" s="10" t="s">
        <v>250</v>
      </c>
      <c r="C62" s="10" t="s">
        <v>258</v>
      </c>
      <c r="D62" s="10" t="s">
        <v>259</v>
      </c>
      <c r="E62" s="9" t="s">
        <v>152</v>
      </c>
      <c r="F62" s="9" t="s">
        <v>17</v>
      </c>
      <c r="G62" s="11" t="n">
        <v>68000</v>
      </c>
      <c r="H62" s="12" t="n">
        <v>0.19</v>
      </c>
      <c r="I62" s="11" t="n">
        <f aca="false">G62*(1+H62)</f>
        <v>80920</v>
      </c>
      <c r="J62" s="13" t="n">
        <v>130</v>
      </c>
      <c r="K62" s="14" t="s">
        <v>260</v>
      </c>
    </row>
    <row r="63" customFormat="false" ht="15" hidden="false" customHeight="false" outlineLevel="0" collapsed="false">
      <c r="A63" s="3" t="s">
        <v>261</v>
      </c>
      <c r="B63" s="4" t="s">
        <v>250</v>
      </c>
      <c r="C63" s="4" t="s">
        <v>262</v>
      </c>
      <c r="D63" s="4" t="s">
        <v>263</v>
      </c>
      <c r="E63" s="3" t="s">
        <v>25</v>
      </c>
      <c r="F63" s="3" t="s">
        <v>17</v>
      </c>
      <c r="G63" s="5" t="n">
        <v>5900</v>
      </c>
      <c r="H63" s="6" t="n">
        <v>0.19</v>
      </c>
      <c r="I63" s="5" t="n">
        <f aca="false">G63*(1+H63)</f>
        <v>7021</v>
      </c>
      <c r="J63" s="7" t="n">
        <v>1300</v>
      </c>
      <c r="K63" s="8" t="s">
        <v>264</v>
      </c>
    </row>
    <row r="64" customFormat="false" ht="15" hidden="false" customHeight="false" outlineLevel="0" collapsed="false">
      <c r="A64" s="9" t="s">
        <v>265</v>
      </c>
      <c r="B64" s="10" t="s">
        <v>250</v>
      </c>
      <c r="C64" s="10" t="s">
        <v>262</v>
      </c>
      <c r="D64" s="10" t="s">
        <v>266</v>
      </c>
      <c r="E64" s="9" t="s">
        <v>25</v>
      </c>
      <c r="F64" s="9" t="s">
        <v>17</v>
      </c>
      <c r="G64" s="11" t="n">
        <v>9800</v>
      </c>
      <c r="H64" s="12" t="n">
        <v>0.19</v>
      </c>
      <c r="I64" s="11" t="n">
        <f aca="false">G64*(1+H64)</f>
        <v>11662</v>
      </c>
      <c r="J64" s="13" t="n">
        <v>780</v>
      </c>
      <c r="K64" s="14" t="s">
        <v>267</v>
      </c>
    </row>
    <row r="65" customFormat="false" ht="15" hidden="false" customHeight="false" outlineLevel="0" collapsed="false">
      <c r="A65" s="3" t="s">
        <v>268</v>
      </c>
      <c r="B65" s="4" t="s">
        <v>250</v>
      </c>
      <c r="C65" s="4" t="s">
        <v>262</v>
      </c>
      <c r="D65" s="4" t="s">
        <v>269</v>
      </c>
      <c r="E65" s="3" t="s">
        <v>152</v>
      </c>
      <c r="F65" s="3" t="s">
        <v>17</v>
      </c>
      <c r="G65" s="5" t="n">
        <v>12500</v>
      </c>
      <c r="H65" s="6" t="n">
        <v>0.19</v>
      </c>
      <c r="I65" s="5" t="n">
        <f aca="false">G65*(1+H65)</f>
        <v>14875</v>
      </c>
      <c r="J65" s="7" t="n">
        <v>560</v>
      </c>
      <c r="K65" s="8" t="s">
        <v>270</v>
      </c>
    </row>
    <row r="66" customFormat="false" ht="15" hidden="false" customHeight="false" outlineLevel="0" collapsed="false">
      <c r="A66" s="9" t="s">
        <v>271</v>
      </c>
      <c r="B66" s="10" t="s">
        <v>250</v>
      </c>
      <c r="C66" s="10" t="s">
        <v>272</v>
      </c>
      <c r="D66" s="10" t="s">
        <v>273</v>
      </c>
      <c r="E66" s="9" t="s">
        <v>107</v>
      </c>
      <c r="F66" s="9" t="s">
        <v>17</v>
      </c>
      <c r="G66" s="11" t="n">
        <v>28000</v>
      </c>
      <c r="H66" s="12" t="n">
        <v>0.19</v>
      </c>
      <c r="I66" s="11" t="n">
        <f aca="false">G66*(1+H66)</f>
        <v>33320</v>
      </c>
      <c r="J66" s="13" t="n">
        <v>320</v>
      </c>
      <c r="K66" s="14" t="s">
        <v>274</v>
      </c>
    </row>
    <row r="67" customFormat="false" ht="15" hidden="false" customHeight="false" outlineLevel="0" collapsed="false">
      <c r="A67" s="3" t="s">
        <v>275</v>
      </c>
      <c r="B67" s="4" t="s">
        <v>276</v>
      </c>
      <c r="C67" s="4" t="s">
        <v>277</v>
      </c>
      <c r="D67" s="4" t="s">
        <v>278</v>
      </c>
      <c r="E67" s="3" t="s">
        <v>279</v>
      </c>
      <c r="F67" s="3" t="s">
        <v>17</v>
      </c>
      <c r="G67" s="5" t="n">
        <v>14500</v>
      </c>
      <c r="H67" s="6" t="n">
        <v>0.19</v>
      </c>
      <c r="I67" s="5" t="n">
        <f aca="false">G67*(1+H67)</f>
        <v>17255</v>
      </c>
      <c r="J67" s="7" t="n">
        <v>700</v>
      </c>
      <c r="K67" s="8" t="s">
        <v>280</v>
      </c>
    </row>
    <row r="68" customFormat="false" ht="15" hidden="false" customHeight="false" outlineLevel="0" collapsed="false">
      <c r="A68" s="9" t="s">
        <v>281</v>
      </c>
      <c r="B68" s="10" t="s">
        <v>276</v>
      </c>
      <c r="C68" s="10" t="s">
        <v>277</v>
      </c>
      <c r="D68" s="10" t="s">
        <v>282</v>
      </c>
      <c r="E68" s="9" t="s">
        <v>279</v>
      </c>
      <c r="F68" s="9" t="s">
        <v>17</v>
      </c>
      <c r="G68" s="11" t="n">
        <v>21000</v>
      </c>
      <c r="H68" s="12" t="n">
        <v>0.19</v>
      </c>
      <c r="I68" s="11" t="n">
        <f aca="false">G68*(1+H68)</f>
        <v>24990</v>
      </c>
      <c r="J68" s="13" t="n">
        <v>520</v>
      </c>
      <c r="K68" s="14" t="s">
        <v>283</v>
      </c>
    </row>
    <row r="69" customFormat="false" ht="22.35" hidden="false" customHeight="false" outlineLevel="0" collapsed="false">
      <c r="A69" s="3" t="s">
        <v>284</v>
      </c>
      <c r="B69" s="4" t="s">
        <v>276</v>
      </c>
      <c r="C69" s="4" t="s">
        <v>277</v>
      </c>
      <c r="D69" s="4" t="s">
        <v>285</v>
      </c>
      <c r="E69" s="3" t="s">
        <v>279</v>
      </c>
      <c r="F69" s="3" t="s">
        <v>17</v>
      </c>
      <c r="G69" s="5" t="n">
        <v>32000</v>
      </c>
      <c r="H69" s="6" t="n">
        <v>0.19</v>
      </c>
      <c r="I69" s="5" t="n">
        <f aca="false">G69*(1+H69)</f>
        <v>38080</v>
      </c>
      <c r="J69" s="7" t="n">
        <v>380</v>
      </c>
      <c r="K69" s="8" t="s">
        <v>286</v>
      </c>
    </row>
    <row r="70" customFormat="false" ht="15" hidden="false" customHeight="false" outlineLevel="0" collapsed="false">
      <c r="A70" s="9" t="s">
        <v>287</v>
      </c>
      <c r="B70" s="10" t="s">
        <v>276</v>
      </c>
      <c r="C70" s="10" t="s">
        <v>288</v>
      </c>
      <c r="D70" s="10" t="s">
        <v>289</v>
      </c>
      <c r="E70" s="9" t="s">
        <v>290</v>
      </c>
      <c r="F70" s="9" t="s">
        <v>17</v>
      </c>
      <c r="G70" s="11" t="n">
        <v>9800</v>
      </c>
      <c r="H70" s="12" t="n">
        <v>0.19</v>
      </c>
      <c r="I70" s="11" t="n">
        <f aca="false">G70*(1+H70)</f>
        <v>11662</v>
      </c>
      <c r="J70" s="13" t="n">
        <v>850</v>
      </c>
      <c r="K70" s="14" t="s">
        <v>291</v>
      </c>
    </row>
    <row r="71" customFormat="false" ht="15" hidden="false" customHeight="false" outlineLevel="0" collapsed="false">
      <c r="A71" s="3" t="s">
        <v>292</v>
      </c>
      <c r="B71" s="4" t="s">
        <v>276</v>
      </c>
      <c r="C71" s="4" t="s">
        <v>293</v>
      </c>
      <c r="D71" s="4" t="s">
        <v>294</v>
      </c>
      <c r="E71" s="3" t="s">
        <v>152</v>
      </c>
      <c r="F71" s="3" t="s">
        <v>17</v>
      </c>
      <c r="G71" s="5" t="n">
        <v>18500</v>
      </c>
      <c r="H71" s="6" t="n">
        <v>0.19</v>
      </c>
      <c r="I71" s="5" t="n">
        <f aca="false">G71*(1+H71)</f>
        <v>22015</v>
      </c>
      <c r="J71" s="7" t="n">
        <v>440</v>
      </c>
      <c r="K71" s="8" t="s">
        <v>295</v>
      </c>
    </row>
    <row r="72" customFormat="false" ht="15" hidden="false" customHeight="false" outlineLevel="0" collapsed="false">
      <c r="A72" s="9" t="s">
        <v>296</v>
      </c>
      <c r="B72" s="10" t="s">
        <v>276</v>
      </c>
      <c r="C72" s="10" t="s">
        <v>293</v>
      </c>
      <c r="D72" s="10" t="s">
        <v>297</v>
      </c>
      <c r="E72" s="9" t="s">
        <v>152</v>
      </c>
      <c r="F72" s="9" t="s">
        <v>17</v>
      </c>
      <c r="G72" s="11" t="n">
        <v>8900</v>
      </c>
      <c r="H72" s="12" t="n">
        <v>0.19</v>
      </c>
      <c r="I72" s="11" t="n">
        <f aca="false">G72*(1+H72)</f>
        <v>10591</v>
      </c>
      <c r="J72" s="13" t="n">
        <v>680</v>
      </c>
      <c r="K72" s="14" t="s">
        <v>298</v>
      </c>
    </row>
    <row r="73" customFormat="false" ht="15" hidden="false" customHeight="false" outlineLevel="0" collapsed="false">
      <c r="A73" s="3" t="s">
        <v>299</v>
      </c>
      <c r="B73" s="4" t="s">
        <v>276</v>
      </c>
      <c r="C73" s="4" t="s">
        <v>300</v>
      </c>
      <c r="D73" s="4" t="s">
        <v>301</v>
      </c>
      <c r="E73" s="3" t="s">
        <v>302</v>
      </c>
      <c r="F73" s="3" t="s">
        <v>17</v>
      </c>
      <c r="G73" s="5" t="n">
        <v>78000</v>
      </c>
      <c r="H73" s="6" t="n">
        <v>0.19</v>
      </c>
      <c r="I73" s="5" t="n">
        <f aca="false">G73*(1+H73)</f>
        <v>92820</v>
      </c>
      <c r="J73" s="7" t="n">
        <v>150</v>
      </c>
      <c r="K73" s="8" t="s">
        <v>303</v>
      </c>
    </row>
    <row r="74" customFormat="false" ht="15" hidden="false" customHeight="false" outlineLevel="0" collapsed="false">
      <c r="A74" s="9" t="s">
        <v>304</v>
      </c>
      <c r="B74" s="10" t="s">
        <v>276</v>
      </c>
      <c r="C74" s="10" t="s">
        <v>300</v>
      </c>
      <c r="D74" s="10" t="s">
        <v>305</v>
      </c>
      <c r="E74" s="9" t="s">
        <v>302</v>
      </c>
      <c r="F74" s="9" t="s">
        <v>17</v>
      </c>
      <c r="G74" s="11" t="n">
        <v>165000</v>
      </c>
      <c r="H74" s="12" t="n">
        <v>0.19</v>
      </c>
      <c r="I74" s="11" t="n">
        <f aca="false">G74*(1+H74)</f>
        <v>196350</v>
      </c>
      <c r="J74" s="13" t="n">
        <v>90</v>
      </c>
      <c r="K74" s="14" t="s">
        <v>306</v>
      </c>
    </row>
    <row r="75" customFormat="false" ht="15" hidden="false" customHeight="false" outlineLevel="0" collapsed="false">
      <c r="A75" s="3" t="s">
        <v>307</v>
      </c>
      <c r="B75" s="4" t="s">
        <v>276</v>
      </c>
      <c r="C75" s="4" t="s">
        <v>108</v>
      </c>
      <c r="D75" s="4" t="s">
        <v>308</v>
      </c>
      <c r="E75" s="3" t="s">
        <v>279</v>
      </c>
      <c r="F75" s="3" t="s">
        <v>17</v>
      </c>
      <c r="G75" s="5" t="n">
        <v>3200</v>
      </c>
      <c r="H75" s="6" t="n">
        <v>0.19</v>
      </c>
      <c r="I75" s="5" t="n">
        <f aca="false">G75*(1+H75)</f>
        <v>3808</v>
      </c>
      <c r="J75" s="7" t="n">
        <v>1500</v>
      </c>
      <c r="K75" s="8" t="s">
        <v>309</v>
      </c>
    </row>
    <row r="76" customFormat="false" ht="15" hidden="false" customHeight="false" outlineLevel="0" collapsed="false">
      <c r="A76" s="9" t="s">
        <v>310</v>
      </c>
      <c r="B76" s="10" t="s">
        <v>276</v>
      </c>
      <c r="C76" s="10" t="s">
        <v>108</v>
      </c>
      <c r="D76" s="10" t="s">
        <v>311</v>
      </c>
      <c r="E76" s="9" t="s">
        <v>279</v>
      </c>
      <c r="F76" s="9" t="s">
        <v>17</v>
      </c>
      <c r="G76" s="11" t="n">
        <v>3800</v>
      </c>
      <c r="H76" s="12" t="n">
        <v>0.19</v>
      </c>
      <c r="I76" s="11" t="n">
        <f aca="false">G76*(1+H76)</f>
        <v>4522</v>
      </c>
      <c r="J76" s="13" t="n">
        <v>1200</v>
      </c>
      <c r="K76" s="14" t="s">
        <v>312</v>
      </c>
    </row>
    <row r="77" customFormat="false" ht="15" hidden="false" customHeight="false" outlineLevel="0" collapsed="false">
      <c r="A77" s="3" t="s">
        <v>313</v>
      </c>
      <c r="B77" s="4" t="s">
        <v>314</v>
      </c>
      <c r="C77" s="4" t="s">
        <v>315</v>
      </c>
      <c r="D77" s="4" t="s">
        <v>316</v>
      </c>
      <c r="E77" s="3" t="s">
        <v>317</v>
      </c>
      <c r="F77" s="3" t="s">
        <v>17</v>
      </c>
      <c r="G77" s="5" t="n">
        <v>6890000</v>
      </c>
      <c r="H77" s="6" t="n">
        <v>0.19</v>
      </c>
      <c r="I77" s="5" t="n">
        <f aca="false">G77*(1+H77)</f>
        <v>8199100</v>
      </c>
      <c r="J77" s="7" t="n">
        <v>8</v>
      </c>
      <c r="K77" s="8" t="s">
        <v>318</v>
      </c>
    </row>
    <row r="78" customFormat="false" ht="15" hidden="false" customHeight="false" outlineLevel="0" collapsed="false">
      <c r="A78" s="9" t="s">
        <v>319</v>
      </c>
      <c r="B78" s="10" t="s">
        <v>314</v>
      </c>
      <c r="C78" s="10" t="s">
        <v>315</v>
      </c>
      <c r="D78" s="10" t="s">
        <v>320</v>
      </c>
      <c r="E78" s="9" t="s">
        <v>317</v>
      </c>
      <c r="F78" s="9" t="s">
        <v>17</v>
      </c>
      <c r="G78" s="11" t="n">
        <v>14500000</v>
      </c>
      <c r="H78" s="12" t="n">
        <v>0.19</v>
      </c>
      <c r="I78" s="11" t="n">
        <f aca="false">G78*(1+H78)</f>
        <v>17255000</v>
      </c>
      <c r="J78" s="13" t="n">
        <v>5</v>
      </c>
      <c r="K78" s="14" t="s">
        <v>321</v>
      </c>
    </row>
    <row r="79" customFormat="false" ht="15" hidden="false" customHeight="false" outlineLevel="0" collapsed="false">
      <c r="A79" s="3" t="s">
        <v>322</v>
      </c>
      <c r="B79" s="4" t="s">
        <v>314</v>
      </c>
      <c r="C79" s="4" t="s">
        <v>315</v>
      </c>
      <c r="D79" s="4" t="s">
        <v>323</v>
      </c>
      <c r="E79" s="3" t="s">
        <v>324</v>
      </c>
      <c r="F79" s="3" t="s">
        <v>17</v>
      </c>
      <c r="G79" s="5" t="n">
        <v>22800000</v>
      </c>
      <c r="H79" s="6" t="n">
        <v>0.19</v>
      </c>
      <c r="I79" s="5" t="n">
        <f aca="false">G79*(1+H79)</f>
        <v>27132000</v>
      </c>
      <c r="J79" s="7" t="n">
        <v>3</v>
      </c>
      <c r="K79" s="8" t="s">
        <v>325</v>
      </c>
    </row>
    <row r="80" customFormat="false" ht="15" hidden="false" customHeight="false" outlineLevel="0" collapsed="false">
      <c r="A80" s="9" t="s">
        <v>326</v>
      </c>
      <c r="B80" s="10" t="s">
        <v>314</v>
      </c>
      <c r="C80" s="10" t="s">
        <v>327</v>
      </c>
      <c r="D80" s="10" t="s">
        <v>328</v>
      </c>
      <c r="E80" s="9" t="s">
        <v>25</v>
      </c>
      <c r="F80" s="9" t="s">
        <v>17</v>
      </c>
      <c r="G80" s="11" t="n">
        <v>18900000</v>
      </c>
      <c r="H80" s="12" t="n">
        <v>0.19</v>
      </c>
      <c r="I80" s="11" t="n">
        <f aca="false">G80*(1+H80)</f>
        <v>22491000</v>
      </c>
      <c r="J80" s="13" t="n">
        <v>2</v>
      </c>
      <c r="K80" s="14" t="s">
        <v>329</v>
      </c>
    </row>
    <row r="81" customFormat="false" ht="22.35" hidden="false" customHeight="false" outlineLevel="0" collapsed="false">
      <c r="A81" s="3" t="s">
        <v>330</v>
      </c>
      <c r="B81" s="4" t="s">
        <v>314</v>
      </c>
      <c r="C81" s="4" t="s">
        <v>331</v>
      </c>
      <c r="D81" s="4" t="s">
        <v>332</v>
      </c>
      <c r="E81" s="3" t="s">
        <v>324</v>
      </c>
      <c r="F81" s="3" t="s">
        <v>17</v>
      </c>
      <c r="G81" s="5" t="n">
        <v>345000</v>
      </c>
      <c r="H81" s="6" t="n">
        <v>0.19</v>
      </c>
      <c r="I81" s="5" t="n">
        <f aca="false">G81*(1+H81)</f>
        <v>410550</v>
      </c>
      <c r="J81" s="7" t="n">
        <v>40</v>
      </c>
      <c r="K81" s="8" t="s">
        <v>333</v>
      </c>
    </row>
    <row r="82" customFormat="false" ht="22.35" hidden="false" customHeight="false" outlineLevel="0" collapsed="false">
      <c r="A82" s="9" t="s">
        <v>334</v>
      </c>
      <c r="B82" s="10" t="s">
        <v>314</v>
      </c>
      <c r="C82" s="10" t="s">
        <v>335</v>
      </c>
      <c r="D82" s="10" t="s">
        <v>336</v>
      </c>
      <c r="E82" s="9" t="s">
        <v>317</v>
      </c>
      <c r="F82" s="9" t="s">
        <v>17</v>
      </c>
      <c r="G82" s="11" t="n">
        <v>198000</v>
      </c>
      <c r="H82" s="12" t="n">
        <v>0.19</v>
      </c>
      <c r="I82" s="11" t="n">
        <f aca="false">G82*(1+H82)</f>
        <v>235620</v>
      </c>
      <c r="J82" s="13" t="n">
        <v>60</v>
      </c>
      <c r="K82" s="14" t="s">
        <v>337</v>
      </c>
    </row>
    <row r="83" customFormat="false" ht="15" hidden="false" customHeight="false" outlineLevel="0" collapsed="false">
      <c r="A83" s="3" t="s">
        <v>338</v>
      </c>
      <c r="B83" s="4" t="s">
        <v>339</v>
      </c>
      <c r="C83" s="4" t="s">
        <v>340</v>
      </c>
      <c r="D83" s="4" t="s">
        <v>341</v>
      </c>
      <c r="E83" s="3" t="s">
        <v>107</v>
      </c>
      <c r="F83" s="3" t="s">
        <v>17</v>
      </c>
      <c r="G83" s="5" t="n">
        <v>890000</v>
      </c>
      <c r="H83" s="6" t="n">
        <v>0.19</v>
      </c>
      <c r="I83" s="5" t="n">
        <f aca="false">G83*(1+H83)</f>
        <v>1059100</v>
      </c>
      <c r="J83" s="7" t="n">
        <v>25</v>
      </c>
      <c r="K83" s="8" t="s">
        <v>342</v>
      </c>
    </row>
    <row r="84" customFormat="false" ht="15" hidden="false" customHeight="false" outlineLevel="0" collapsed="false">
      <c r="A84" s="9" t="s">
        <v>343</v>
      </c>
      <c r="B84" s="10" t="s">
        <v>339</v>
      </c>
      <c r="C84" s="10" t="s">
        <v>340</v>
      </c>
      <c r="D84" s="10" t="s">
        <v>344</v>
      </c>
      <c r="E84" s="9" t="s">
        <v>112</v>
      </c>
      <c r="F84" s="9" t="s">
        <v>17</v>
      </c>
      <c r="G84" s="11" t="n">
        <v>1290000</v>
      </c>
      <c r="H84" s="12" t="n">
        <v>0.19</v>
      </c>
      <c r="I84" s="11" t="n">
        <f aca="false">G84*(1+H84)</f>
        <v>1535100</v>
      </c>
      <c r="J84" s="13" t="n">
        <v>18</v>
      </c>
      <c r="K84" s="14" t="s">
        <v>345</v>
      </c>
    </row>
    <row r="85" customFormat="false" ht="15" hidden="false" customHeight="false" outlineLevel="0" collapsed="false">
      <c r="A85" s="3" t="s">
        <v>346</v>
      </c>
      <c r="B85" s="4" t="s">
        <v>339</v>
      </c>
      <c r="C85" s="4" t="s">
        <v>347</v>
      </c>
      <c r="D85" s="4" t="s">
        <v>348</v>
      </c>
      <c r="E85" s="3" t="s">
        <v>107</v>
      </c>
      <c r="F85" s="3" t="s">
        <v>17</v>
      </c>
      <c r="G85" s="5" t="n">
        <v>245000</v>
      </c>
      <c r="H85" s="6" t="n">
        <v>0.19</v>
      </c>
      <c r="I85" s="5" t="n">
        <f aca="false">G85*(1+H85)</f>
        <v>291550</v>
      </c>
      <c r="J85" s="7" t="n">
        <v>70</v>
      </c>
      <c r="K85" s="8" t="s">
        <v>349</v>
      </c>
    </row>
    <row r="86" customFormat="false" ht="15" hidden="false" customHeight="false" outlineLevel="0" collapsed="false">
      <c r="A86" s="9" t="s">
        <v>350</v>
      </c>
      <c r="B86" s="10" t="s">
        <v>339</v>
      </c>
      <c r="C86" s="10" t="s">
        <v>351</v>
      </c>
      <c r="D86" s="10" t="s">
        <v>352</v>
      </c>
      <c r="E86" s="9" t="s">
        <v>112</v>
      </c>
      <c r="F86" s="9" t="s">
        <v>17</v>
      </c>
      <c r="G86" s="11" t="n">
        <v>14000</v>
      </c>
      <c r="H86" s="12" t="n">
        <v>0.19</v>
      </c>
      <c r="I86" s="11" t="n">
        <f aca="false">G86*(1+H86)</f>
        <v>16660</v>
      </c>
      <c r="J86" s="13" t="n">
        <v>600</v>
      </c>
      <c r="K86" s="14" t="s">
        <v>353</v>
      </c>
    </row>
    <row r="87" customFormat="false" ht="15" hidden="false" customHeight="false" outlineLevel="0" collapsed="false">
      <c r="A87" s="3" t="s">
        <v>354</v>
      </c>
      <c r="B87" s="4" t="s">
        <v>339</v>
      </c>
      <c r="C87" s="4" t="s">
        <v>355</v>
      </c>
      <c r="D87" s="4" t="s">
        <v>356</v>
      </c>
      <c r="E87" s="3" t="s">
        <v>121</v>
      </c>
      <c r="F87" s="3" t="s">
        <v>17</v>
      </c>
      <c r="G87" s="5" t="n">
        <v>178000</v>
      </c>
      <c r="H87" s="6" t="n">
        <v>0.19</v>
      </c>
      <c r="I87" s="5" t="n">
        <f aca="false">G87*(1+H87)</f>
        <v>211820</v>
      </c>
      <c r="J87" s="7" t="n">
        <v>55</v>
      </c>
      <c r="K87" s="8" t="s">
        <v>357</v>
      </c>
    </row>
    <row r="88" customFormat="false" ht="15" hidden="false" customHeight="false" outlineLevel="0" collapsed="false">
      <c r="A88" s="9" t="s">
        <v>358</v>
      </c>
      <c r="B88" s="10" t="s">
        <v>339</v>
      </c>
      <c r="C88" s="10" t="s">
        <v>359</v>
      </c>
      <c r="D88" s="10" t="s">
        <v>360</v>
      </c>
      <c r="E88" s="9" t="s">
        <v>121</v>
      </c>
      <c r="F88" s="9" t="s">
        <v>361</v>
      </c>
      <c r="G88" s="11" t="n">
        <v>96000</v>
      </c>
      <c r="H88" s="12" t="n">
        <v>0.19</v>
      </c>
      <c r="I88" s="11" t="n">
        <f aca="false">G88*(1+H88)</f>
        <v>114240</v>
      </c>
      <c r="J88" s="13" t="n">
        <v>80</v>
      </c>
      <c r="K88" s="14" t="s">
        <v>362</v>
      </c>
    </row>
    <row r="89" customFormat="false" ht="15" hidden="false" customHeight="false" outlineLevel="0" collapsed="false">
      <c r="A89" s="3" t="s">
        <v>363</v>
      </c>
      <c r="B89" s="4" t="s">
        <v>339</v>
      </c>
      <c r="C89" s="4" t="s">
        <v>364</v>
      </c>
      <c r="D89" s="4" t="s">
        <v>365</v>
      </c>
      <c r="E89" s="3" t="s">
        <v>366</v>
      </c>
      <c r="F89" s="3" t="s">
        <v>17</v>
      </c>
      <c r="G89" s="5" t="n">
        <v>1450000</v>
      </c>
      <c r="H89" s="6" t="n">
        <v>0.19</v>
      </c>
      <c r="I89" s="5" t="n">
        <f aca="false">G89*(1+H89)</f>
        <v>1725500</v>
      </c>
      <c r="J89" s="7" t="n">
        <v>20</v>
      </c>
      <c r="K89" s="8" t="s">
        <v>367</v>
      </c>
    </row>
    <row r="90" customFormat="false" ht="15" hidden="false" customHeight="false" outlineLevel="0" collapsed="false">
      <c r="A90" s="9" t="s">
        <v>368</v>
      </c>
      <c r="B90" s="10" t="s">
        <v>339</v>
      </c>
      <c r="C90" s="10" t="s">
        <v>369</v>
      </c>
      <c r="D90" s="10" t="s">
        <v>370</v>
      </c>
      <c r="E90" s="9" t="s">
        <v>107</v>
      </c>
      <c r="F90" s="9" t="s">
        <v>17</v>
      </c>
      <c r="G90" s="11" t="n">
        <v>68000</v>
      </c>
      <c r="H90" s="12" t="n">
        <v>0.19</v>
      </c>
      <c r="I90" s="11" t="n">
        <f aca="false">G90*(1+H90)</f>
        <v>80920</v>
      </c>
      <c r="J90" s="13" t="n">
        <v>140</v>
      </c>
      <c r="K90" s="14" t="s">
        <v>371</v>
      </c>
    </row>
    <row r="91" customFormat="false" ht="15" hidden="false" customHeight="false" outlineLevel="0" collapsed="false">
      <c r="A91" s="3" t="s">
        <v>372</v>
      </c>
      <c r="B91" s="4" t="s">
        <v>373</v>
      </c>
      <c r="C91" s="4" t="s">
        <v>374</v>
      </c>
      <c r="D91" s="4" t="s">
        <v>375</v>
      </c>
      <c r="E91" s="3" t="s">
        <v>376</v>
      </c>
      <c r="F91" s="3" t="s">
        <v>17</v>
      </c>
      <c r="G91" s="5" t="n">
        <v>89000</v>
      </c>
      <c r="H91" s="6" t="n">
        <v>0.19</v>
      </c>
      <c r="I91" s="5" t="n">
        <f aca="false">G91*(1+H91)</f>
        <v>105910</v>
      </c>
      <c r="J91" s="7" t="n">
        <v>110</v>
      </c>
      <c r="K91" s="8" t="s">
        <v>377</v>
      </c>
    </row>
    <row r="92" customFormat="false" ht="15" hidden="false" customHeight="false" outlineLevel="0" collapsed="false">
      <c r="A92" s="9" t="s">
        <v>378</v>
      </c>
      <c r="B92" s="10" t="s">
        <v>373</v>
      </c>
      <c r="C92" s="10" t="s">
        <v>374</v>
      </c>
      <c r="D92" s="10" t="s">
        <v>379</v>
      </c>
      <c r="E92" s="9" t="s">
        <v>380</v>
      </c>
      <c r="F92" s="9" t="s">
        <v>17</v>
      </c>
      <c r="G92" s="11" t="n">
        <v>345000</v>
      </c>
      <c r="H92" s="12" t="n">
        <v>0.19</v>
      </c>
      <c r="I92" s="11" t="n">
        <f aca="false">G92*(1+H92)</f>
        <v>410550</v>
      </c>
      <c r="J92" s="13" t="n">
        <v>60</v>
      </c>
      <c r="K92" s="14" t="s">
        <v>381</v>
      </c>
    </row>
    <row r="93" customFormat="false" ht="15" hidden="false" customHeight="false" outlineLevel="0" collapsed="false">
      <c r="A93" s="3" t="s">
        <v>382</v>
      </c>
      <c r="B93" s="4" t="s">
        <v>373</v>
      </c>
      <c r="C93" s="4" t="s">
        <v>374</v>
      </c>
      <c r="D93" s="4" t="s">
        <v>383</v>
      </c>
      <c r="E93" s="3" t="s">
        <v>380</v>
      </c>
      <c r="F93" s="3" t="s">
        <v>17</v>
      </c>
      <c r="G93" s="5" t="n">
        <v>298000</v>
      </c>
      <c r="H93" s="6" t="n">
        <v>0.19</v>
      </c>
      <c r="I93" s="5" t="n">
        <f aca="false">G93*(1+H93)</f>
        <v>354620</v>
      </c>
      <c r="J93" s="7" t="n">
        <v>50</v>
      </c>
      <c r="K93" s="8" t="s">
        <v>384</v>
      </c>
    </row>
    <row r="94" customFormat="false" ht="15" hidden="false" customHeight="false" outlineLevel="0" collapsed="false">
      <c r="A94" s="9" t="s">
        <v>385</v>
      </c>
      <c r="B94" s="10" t="s">
        <v>373</v>
      </c>
      <c r="C94" s="10" t="s">
        <v>374</v>
      </c>
      <c r="D94" s="10" t="s">
        <v>386</v>
      </c>
      <c r="E94" s="9" t="s">
        <v>376</v>
      </c>
      <c r="F94" s="9" t="s">
        <v>17</v>
      </c>
      <c r="G94" s="11" t="n">
        <v>54000</v>
      </c>
      <c r="H94" s="12" t="n">
        <v>0.19</v>
      </c>
      <c r="I94" s="11" t="n">
        <f aca="false">G94*(1+H94)</f>
        <v>64260</v>
      </c>
      <c r="J94" s="13" t="n">
        <v>180</v>
      </c>
      <c r="K94" s="14" t="s">
        <v>387</v>
      </c>
    </row>
    <row r="95" customFormat="false" ht="15" hidden="false" customHeight="false" outlineLevel="0" collapsed="false">
      <c r="A95" s="3" t="s">
        <v>388</v>
      </c>
      <c r="B95" s="4" t="s">
        <v>373</v>
      </c>
      <c r="C95" s="4" t="s">
        <v>389</v>
      </c>
      <c r="D95" s="4" t="s">
        <v>390</v>
      </c>
      <c r="E95" s="3" t="s">
        <v>127</v>
      </c>
      <c r="F95" s="3" t="s">
        <v>17</v>
      </c>
      <c r="G95" s="5" t="n">
        <v>4200</v>
      </c>
      <c r="H95" s="6" t="n">
        <v>0.19</v>
      </c>
      <c r="I95" s="5" t="n">
        <f aca="false">G95*(1+H95)</f>
        <v>4998</v>
      </c>
      <c r="J95" s="7" t="n">
        <v>2000</v>
      </c>
      <c r="K95" s="8" t="s">
        <v>391</v>
      </c>
    </row>
    <row r="96" customFormat="false" ht="15" hidden="false" customHeight="false" outlineLevel="0" collapsed="false">
      <c r="A96" s="9" t="s">
        <v>392</v>
      </c>
      <c r="B96" s="10" t="s">
        <v>373</v>
      </c>
      <c r="C96" s="10" t="s">
        <v>389</v>
      </c>
      <c r="D96" s="10" t="s">
        <v>393</v>
      </c>
      <c r="E96" s="9" t="s">
        <v>107</v>
      </c>
      <c r="F96" s="9" t="s">
        <v>128</v>
      </c>
      <c r="G96" s="11" t="n">
        <v>18000</v>
      </c>
      <c r="H96" s="12" t="n">
        <v>0.19</v>
      </c>
      <c r="I96" s="11" t="n">
        <f aca="false">G96*(1+H96)</f>
        <v>21420</v>
      </c>
      <c r="J96" s="13" t="n">
        <v>650</v>
      </c>
      <c r="K96" s="14" t="s">
        <v>394</v>
      </c>
    </row>
    <row r="97" customFormat="false" ht="15" hidden="false" customHeight="false" outlineLevel="0" collapsed="false">
      <c r="A97" s="3" t="s">
        <v>395</v>
      </c>
      <c r="B97" s="4" t="s">
        <v>373</v>
      </c>
      <c r="C97" s="4" t="s">
        <v>389</v>
      </c>
      <c r="D97" s="4" t="s">
        <v>396</v>
      </c>
      <c r="E97" s="3" t="s">
        <v>107</v>
      </c>
      <c r="F97" s="3" t="s">
        <v>128</v>
      </c>
      <c r="G97" s="5" t="n">
        <v>9800</v>
      </c>
      <c r="H97" s="6" t="n">
        <v>0.19</v>
      </c>
      <c r="I97" s="5" t="n">
        <f aca="false">G97*(1+H97)</f>
        <v>11662</v>
      </c>
      <c r="J97" s="7" t="n">
        <v>820</v>
      </c>
      <c r="K97" s="8" t="s">
        <v>397</v>
      </c>
    </row>
    <row r="98" customFormat="false" ht="15" hidden="false" customHeight="false" outlineLevel="0" collapsed="false">
      <c r="A98" s="9" t="s">
        <v>398</v>
      </c>
      <c r="B98" s="10" t="s">
        <v>373</v>
      </c>
      <c r="C98" s="10" t="s">
        <v>389</v>
      </c>
      <c r="D98" s="10" t="s">
        <v>399</v>
      </c>
      <c r="E98" s="9" t="s">
        <v>107</v>
      </c>
      <c r="F98" s="9" t="s">
        <v>400</v>
      </c>
      <c r="G98" s="11" t="n">
        <v>22000</v>
      </c>
      <c r="H98" s="12" t="n">
        <v>0.19</v>
      </c>
      <c r="I98" s="11" t="n">
        <f aca="false">G98*(1+H98)</f>
        <v>26180</v>
      </c>
      <c r="J98" s="13" t="n">
        <v>300</v>
      </c>
      <c r="K98" s="14" t="s">
        <v>401</v>
      </c>
    </row>
  </sheetData>
  <autoFilter ref="A2:K98"/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24"/>
  </cols>
  <sheetData>
    <row r="1" customFormat="false" ht="16.15" hidden="false" customHeight="false" outlineLevel="0" collapsed="false">
      <c r="A1" s="15" t="s">
        <v>402</v>
      </c>
      <c r="B1" s="15"/>
      <c r="C1" s="15"/>
      <c r="D1" s="15"/>
    </row>
    <row r="2" customFormat="false" ht="15" hidden="false" customHeight="false" outlineLevel="0" collapsed="false">
      <c r="A2" s="16" t="s">
        <v>2</v>
      </c>
      <c r="B2" s="16" t="s">
        <v>403</v>
      </c>
      <c r="C2" s="16" t="s">
        <v>404</v>
      </c>
      <c r="D2" s="16" t="s">
        <v>405</v>
      </c>
    </row>
    <row r="3" customFormat="false" ht="15" hidden="false" customHeight="false" outlineLevel="0" collapsed="false">
      <c r="A3" s="17" t="s">
        <v>13</v>
      </c>
      <c r="B3" s="7" t="n">
        <f aca="false">COUNTIF('Catálogo COMATEL'!B:B,A3)</f>
        <v>14</v>
      </c>
      <c r="C3" s="18" t="n">
        <f aca="false">AVERAGEIF('Catálogo COMATEL'!B:B,A3,'Catálogo COMATEL'!G:G)</f>
        <v>106500</v>
      </c>
      <c r="D3" s="18" t="n">
        <f aca="false">SUMPRODUCT(('Catálogo COMATEL'!$B$3:$B$98=A3)*'Catálogo COMATEL'!$G$3:$G$98*'Catálogo COMATEL'!$J$3:$J$98)</f>
        <v>143452500</v>
      </c>
    </row>
    <row r="4" customFormat="false" ht="15" hidden="false" customHeight="false" outlineLevel="0" collapsed="false">
      <c r="A4" s="17" t="s">
        <v>72</v>
      </c>
      <c r="B4" s="7" t="n">
        <f aca="false">COUNTIF('Catálogo COMATEL'!B:B,A4)</f>
        <v>12</v>
      </c>
      <c r="C4" s="18" t="n">
        <f aca="false">AVERAGEIF('Catálogo COMATEL'!B:B,A4,'Catálogo COMATEL'!G:G)</f>
        <v>160525</v>
      </c>
      <c r="D4" s="18" t="n">
        <f aca="false">SUMPRODUCT(('Catálogo COMATEL'!$B$3:$B$98=A4)*'Catálogo COMATEL'!$G$3:$G$98*'Catálogo COMATEL'!$J$3:$J$98)</f>
        <v>305730000</v>
      </c>
    </row>
    <row r="5" customFormat="false" ht="15" hidden="false" customHeight="false" outlineLevel="0" collapsed="false">
      <c r="A5" s="17" t="s">
        <v>124</v>
      </c>
      <c r="B5" s="7" t="n">
        <f aca="false">COUNTIF('Catálogo COMATEL'!B:B,A5)</f>
        <v>7</v>
      </c>
      <c r="C5" s="18" t="n">
        <f aca="false">AVERAGEIF('Catálogo COMATEL'!B:B,A5,'Catálogo COMATEL'!G:G)</f>
        <v>30571.4285714286</v>
      </c>
      <c r="D5" s="18" t="n">
        <f aca="false">SUMPRODUCT(('Catálogo COMATEL'!$B$3:$B$98=A5)*'Catálogo COMATEL'!$G$3:$G$98*'Catálogo COMATEL'!$J$3:$J$98)</f>
        <v>65800000</v>
      </c>
    </row>
    <row r="6" customFormat="false" ht="15" hidden="false" customHeight="false" outlineLevel="0" collapsed="false">
      <c r="A6" s="17" t="s">
        <v>155</v>
      </c>
      <c r="B6" s="7" t="n">
        <f aca="false">COUNTIF('Catálogo COMATEL'!B:B,A6)</f>
        <v>8</v>
      </c>
      <c r="C6" s="18" t="n">
        <f aca="false">AVERAGEIF('Catálogo COMATEL'!B:B,A6,'Catálogo COMATEL'!G:G)</f>
        <v>1756500</v>
      </c>
      <c r="D6" s="18" t="n">
        <f aca="false">SUMPRODUCT(('Catálogo COMATEL'!$B$3:$B$98=A6)*'Catálogo COMATEL'!$G$3:$G$98*'Catálogo COMATEL'!$J$3:$J$98)</f>
        <v>296135000</v>
      </c>
    </row>
    <row r="7" customFormat="false" ht="15" hidden="false" customHeight="false" outlineLevel="0" collapsed="false">
      <c r="A7" s="17" t="s">
        <v>190</v>
      </c>
      <c r="B7" s="7" t="n">
        <f aca="false">COUNTIF('Catálogo COMATEL'!B:B,A7)</f>
        <v>7</v>
      </c>
      <c r="C7" s="18" t="n">
        <f aca="false">AVERAGEIF('Catálogo COMATEL'!B:B,A7,'Catálogo COMATEL'!G:G)</f>
        <v>146842.857142857</v>
      </c>
      <c r="D7" s="18" t="n">
        <f aca="false">SUMPRODUCT(('Catálogo COMATEL'!$B$3:$B$98=A7)*'Catálogo COMATEL'!$G$3:$G$98*'Catálogo COMATEL'!$J$3:$J$98)</f>
        <v>83650000</v>
      </c>
    </row>
    <row r="8" customFormat="false" ht="15" hidden="false" customHeight="false" outlineLevel="0" collapsed="false">
      <c r="A8" s="17" t="s">
        <v>216</v>
      </c>
      <c r="B8" s="7" t="n">
        <f aca="false">COUNTIF('Catálogo COMATEL'!B:B,A8)</f>
        <v>9</v>
      </c>
      <c r="C8" s="18" t="n">
        <f aca="false">AVERAGEIF('Catálogo COMATEL'!B:B,A8,'Catálogo COMATEL'!G:G)</f>
        <v>152811.111111111</v>
      </c>
      <c r="D8" s="18" t="n">
        <f aca="false">SUMPRODUCT(('Catálogo COMATEL'!$B$3:$B$98=A8)*'Catálogo COMATEL'!$G$3:$G$98*'Catálogo COMATEL'!$J$3:$J$98)</f>
        <v>119850000</v>
      </c>
    </row>
    <row r="9" customFormat="false" ht="15" hidden="false" customHeight="false" outlineLevel="0" collapsed="false">
      <c r="A9" s="17" t="s">
        <v>250</v>
      </c>
      <c r="B9" s="7" t="n">
        <f aca="false">COUNTIF('Catálogo COMATEL'!B:B,A9)</f>
        <v>7</v>
      </c>
      <c r="C9" s="18" t="n">
        <f aca="false">AVERAGEIF('Catálogo COMATEL'!B:B,A9,'Catálogo COMATEL'!G:G)</f>
        <v>24771.4285714286</v>
      </c>
      <c r="D9" s="18" t="n">
        <f aca="false">SUMPRODUCT(('Catálogo COMATEL'!$B$3:$B$98=A9)*'Catálogo COMATEL'!$G$3:$G$98*'Catálogo COMATEL'!$J$3:$J$98)</f>
        <v>58114000</v>
      </c>
    </row>
    <row r="10" customFormat="false" ht="15" hidden="false" customHeight="false" outlineLevel="0" collapsed="false">
      <c r="A10" s="17" t="s">
        <v>276</v>
      </c>
      <c r="B10" s="7" t="n">
        <f aca="false">COUNTIF('Catálogo COMATEL'!B:B,A10)</f>
        <v>10</v>
      </c>
      <c r="C10" s="18" t="n">
        <f aca="false">AVERAGEIF('Catálogo COMATEL'!B:B,A10,'Catálogo COMATEL'!G:G)</f>
        <v>35470</v>
      </c>
      <c r="D10" s="18" t="n">
        <f aca="false">SUMPRODUCT(('Catálogo COMATEL'!$B$3:$B$98=A10)*'Catálogo COMATEL'!$G$3:$G$98*'Catálogo COMATEL'!$J$3:$J$98)</f>
        <v>91662000</v>
      </c>
    </row>
    <row r="11" customFormat="false" ht="15" hidden="false" customHeight="false" outlineLevel="0" collapsed="false">
      <c r="A11" s="17" t="s">
        <v>314</v>
      </c>
      <c r="B11" s="7" t="n">
        <f aca="false">COUNTIF('Catálogo COMATEL'!B:B,A11)</f>
        <v>6</v>
      </c>
      <c r="C11" s="18" t="n">
        <f aca="false">AVERAGEIF('Catálogo COMATEL'!B:B,A11,'Catálogo COMATEL'!G:G)</f>
        <v>10605500</v>
      </c>
      <c r="D11" s="18" t="n">
        <f aca="false">SUMPRODUCT(('Catálogo COMATEL'!$B$3:$B$98=A11)*'Catálogo COMATEL'!$G$3:$G$98*'Catálogo COMATEL'!$J$3:$J$98)</f>
        <v>259500000</v>
      </c>
    </row>
    <row r="12" customFormat="false" ht="15" hidden="false" customHeight="false" outlineLevel="0" collapsed="false">
      <c r="A12" s="17" t="s">
        <v>339</v>
      </c>
      <c r="B12" s="7" t="n">
        <f aca="false">COUNTIF('Catálogo COMATEL'!B:B,A12)</f>
        <v>8</v>
      </c>
      <c r="C12" s="18" t="n">
        <f aca="false">AVERAGEIF('Catálogo COMATEL'!B:B,A12,'Catálogo COMATEL'!G:G)</f>
        <v>528875</v>
      </c>
      <c r="D12" s="18" t="n">
        <f aca="false">SUMPRODUCT(('Catálogo COMATEL'!$B$3:$B$98=A12)*'Catálogo COMATEL'!$G$3:$G$98*'Catálogo COMATEL'!$J$3:$J$98)</f>
        <v>127010000</v>
      </c>
    </row>
    <row r="13" customFormat="false" ht="15" hidden="false" customHeight="false" outlineLevel="0" collapsed="false">
      <c r="A13" s="17" t="s">
        <v>373</v>
      </c>
      <c r="B13" s="7" t="n">
        <f aca="false">COUNTIF('Catálogo COMATEL'!B:B,A13)</f>
        <v>8</v>
      </c>
      <c r="C13" s="18" t="n">
        <f aca="false">AVERAGEIF('Catálogo COMATEL'!B:B,A13,'Catálogo COMATEL'!G:G)</f>
        <v>105000</v>
      </c>
      <c r="D13" s="18" t="n">
        <f aca="false">SUMPRODUCT(('Catálogo COMATEL'!$B$3:$B$98=A13)*'Catálogo COMATEL'!$G$3:$G$98*'Catálogo COMATEL'!$J$3:$J$98)</f>
        <v>89846000</v>
      </c>
    </row>
    <row r="14" customFormat="false" ht="15" hidden="false" customHeight="false" outlineLevel="0" collapsed="false">
      <c r="A14" s="19" t="s">
        <v>406</v>
      </c>
      <c r="B14" s="20" t="n">
        <f aca="false">SUM(B3:B13)</f>
        <v>96</v>
      </c>
      <c r="C14" s="21"/>
      <c r="D14" s="21" t="n">
        <f aca="false">SUM(D3:D13)</f>
        <v>1640749500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2026-07-08T01:22:59Z</dcterms:created>
  <dc:creator>openpyxl</dc:creator>
  <dc:description/>
  <dc:language>en-US</dc:language>
  <cp:lastModifiedBy/>
  <dcterms:modified xsi:type="dcterms:W3CDTF">2026-07-08T01:23:00Z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